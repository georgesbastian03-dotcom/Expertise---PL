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xpertsnicolai.sharepoint.com/sites/BEXBureau/Documents partages/0022 DOCUMENTS TYPES/0002 Type ELLS/"/>
    </mc:Choice>
  </mc:AlternateContent>
  <xr:revisionPtr revIDLastSave="38" documentId="8_{C4108D8A-B42C-4FF2-B9C9-6DC28362E53A}" xr6:coauthVersionLast="47" xr6:coauthVersionMax="47" xr10:uidLastSave="{1FF3E0FB-1FD7-4CD1-B96A-7F2AC1E70B3D}"/>
  <bookViews>
    <workbookView xWindow="2085" yWindow="0" windowWidth="21600" windowHeight="11295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Feuil1!$A$1:$I$153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1" l="1"/>
  <c r="I52" i="1"/>
  <c r="I57" i="1"/>
  <c r="I42" i="1"/>
  <c r="G43" i="1"/>
  <c r="I43" i="1"/>
  <c r="G44" i="1"/>
  <c r="I44" i="1"/>
  <c r="I45" i="1"/>
  <c r="I61" i="1"/>
  <c r="I68" i="1"/>
  <c r="G130" i="1"/>
  <c r="I130" i="1" s="1"/>
  <c r="G129" i="1"/>
  <c r="I129" i="1" s="1"/>
  <c r="G128" i="1"/>
  <c r="I128" i="1" s="1"/>
  <c r="G127" i="1"/>
  <c r="I127" i="1" s="1"/>
  <c r="G126" i="1"/>
  <c r="I126" i="1" s="1"/>
  <c r="G125" i="1"/>
  <c r="I125" i="1" s="1"/>
  <c r="G124" i="1"/>
  <c r="I124" i="1" s="1"/>
  <c r="G123" i="1"/>
  <c r="I123" i="1"/>
  <c r="G122" i="1"/>
  <c r="I122" i="1"/>
  <c r="G121" i="1"/>
  <c r="I121" i="1" s="1"/>
  <c r="G120" i="1"/>
  <c r="I120" i="1" s="1"/>
  <c r="G119" i="1"/>
  <c r="I119" i="1"/>
  <c r="G118" i="1"/>
  <c r="I118" i="1"/>
  <c r="G117" i="1"/>
  <c r="I117" i="1" s="1"/>
  <c r="G116" i="1"/>
  <c r="I116" i="1" s="1"/>
  <c r="G115" i="1"/>
  <c r="I115" i="1"/>
  <c r="G114" i="1"/>
  <c r="I114" i="1"/>
  <c r="G113" i="1"/>
  <c r="I113" i="1" s="1"/>
  <c r="G112" i="1"/>
  <c r="I112" i="1" s="1"/>
  <c r="G111" i="1"/>
  <c r="I111" i="1"/>
  <c r="G110" i="1"/>
  <c r="I110" i="1"/>
  <c r="G109" i="1"/>
  <c r="I109" i="1" s="1"/>
  <c r="G108" i="1"/>
  <c r="I108" i="1" s="1"/>
  <c r="G107" i="1"/>
  <c r="I107" i="1"/>
  <c r="G106" i="1"/>
  <c r="I106" i="1"/>
  <c r="G105" i="1"/>
  <c r="I105" i="1" s="1"/>
  <c r="G104" i="1"/>
  <c r="I104" i="1" s="1"/>
  <c r="G103" i="1"/>
  <c r="I103" i="1"/>
  <c r="G102" i="1"/>
  <c r="I102" i="1"/>
  <c r="G101" i="1"/>
  <c r="I101" i="1" s="1"/>
  <c r="G100" i="1"/>
  <c r="I100" i="1" s="1"/>
  <c r="G99" i="1"/>
  <c r="I99" i="1"/>
  <c r="G98" i="1"/>
  <c r="I98" i="1"/>
  <c r="G97" i="1"/>
  <c r="I97" i="1" s="1"/>
  <c r="G96" i="1"/>
  <c r="I96" i="1" s="1"/>
  <c r="G95" i="1"/>
  <c r="I95" i="1"/>
  <c r="G94" i="1"/>
  <c r="I94" i="1"/>
  <c r="G93" i="1"/>
  <c r="I93" i="1" s="1"/>
  <c r="G92" i="1"/>
  <c r="I92" i="1" s="1"/>
  <c r="G91" i="1"/>
  <c r="I91" i="1"/>
  <c r="G90" i="1"/>
  <c r="I90" i="1"/>
  <c r="G89" i="1"/>
  <c r="I89" i="1" s="1"/>
  <c r="G88" i="1"/>
  <c r="I88" i="1" s="1"/>
  <c r="G87" i="1"/>
  <c r="I87" i="1" s="1"/>
  <c r="G86" i="1"/>
  <c r="I86" i="1"/>
  <c r="G85" i="1"/>
  <c r="I85" i="1" s="1"/>
  <c r="G84" i="1"/>
  <c r="I84" i="1" s="1"/>
  <c r="G83" i="1"/>
  <c r="I83" i="1"/>
  <c r="G82" i="1"/>
  <c r="I82" i="1"/>
  <c r="G81" i="1"/>
  <c r="I81" i="1" s="1"/>
  <c r="G80" i="1"/>
  <c r="I80" i="1" s="1"/>
  <c r="G79" i="1"/>
  <c r="I79" i="1"/>
  <c r="G78" i="1"/>
  <c r="I78" i="1"/>
  <c r="G77" i="1"/>
  <c r="I77" i="1" s="1"/>
  <c r="G76" i="1"/>
  <c r="I76" i="1" s="1"/>
  <c r="G75" i="1"/>
  <c r="I75" i="1"/>
  <c r="G74" i="1"/>
  <c r="I74" i="1"/>
  <c r="G69" i="1"/>
  <c r="I69" i="1" s="1"/>
  <c r="I58" i="1"/>
  <c r="I56" i="1"/>
  <c r="I54" i="1"/>
  <c r="I53" i="1"/>
  <c r="I20" i="1" l="1"/>
  <c r="I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Nicolai</author>
    <author>BEX</author>
    <author>MN</author>
  </authors>
  <commentList>
    <comment ref="A41" authorId="0" shapeId="0" xr:uid="{53153BA7-31AB-4B91-887B-08C1547E2157}">
      <text>
        <r>
          <rPr>
            <b/>
            <sz val="10"/>
            <color indexed="81"/>
            <rFont val="Tahoma"/>
            <family val="2"/>
          </rPr>
          <t>Michael Nicolai: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54" authorId="1" shapeId="0" xr:uid="{BD9858B4-3ECD-49DB-B3A0-F83CF565D78B}">
      <text>
        <r>
          <rPr>
            <b/>
            <sz val="9"/>
            <color indexed="81"/>
            <rFont val="Tahoma"/>
            <family val="2"/>
          </rPr>
          <t>BEX:
2023</t>
        </r>
        <r>
          <rPr>
            <sz val="9"/>
            <color indexed="81"/>
            <rFont val="Tahoma"/>
            <family val="2"/>
          </rPr>
          <t xml:space="preserve">
Gaz: 180-230 (&lt;100 m²)
Gaz /PAC: 185-230€
Mazout : 250 €
Pellets: 200
Convecteur gaz: 110 + 75€pc suppl
Convecteur elec dépouss: 90+45 €/pc suppl
</t>
        </r>
      </text>
    </comment>
    <comment ref="G61" authorId="2" shapeId="0" xr:uid="{74CE9DE3-C62A-4FF8-ACE6-9935B1A3A55D}">
      <text>
        <r>
          <rPr>
            <b/>
            <sz val="9"/>
            <color indexed="81"/>
            <rFont val="Tahoma"/>
            <family val="2"/>
          </rPr>
          <t>MN:</t>
        </r>
        <r>
          <rPr>
            <sz val="9"/>
            <color indexed="81"/>
            <rFont val="Tahoma"/>
            <family val="2"/>
          </rPr>
          <t xml:space="preserve">
Compter: 270 €/jour Maison complète 750€ min
</t>
        </r>
      </text>
    </comment>
    <comment ref="G68" authorId="2" shapeId="0" xr:uid="{69A1F84D-6E37-4B2D-BAC4-68733E57FF34}">
      <text>
        <r>
          <rPr>
            <b/>
            <sz val="9"/>
            <color indexed="81"/>
            <rFont val="Tahoma"/>
            <family val="2"/>
          </rPr>
          <t>MN:</t>
        </r>
        <r>
          <rPr>
            <sz val="9"/>
            <color indexed="81"/>
            <rFont val="Tahoma"/>
            <family val="2"/>
          </rPr>
          <t xml:space="preserve">
Compter: 200 €/jour Maison complète 500€ min
</t>
        </r>
      </text>
    </comment>
    <comment ref="B73" authorId="2" shapeId="0" xr:uid="{D5716775-4083-4444-9E96-8A2F8795F7B9}">
      <text>
        <r>
          <rPr>
            <b/>
            <sz val="9"/>
            <color indexed="81"/>
            <rFont val="Tahoma"/>
            <family val="2"/>
          </rPr>
          <t>MN:</t>
        </r>
        <r>
          <rPr>
            <sz val="9"/>
            <color indexed="81"/>
            <rFont val="Tahoma"/>
            <family val="2"/>
          </rPr>
          <t xml:space="preserve">
Petite mains : 30€/h ; avec petite fournitures 35€/h
</t>
        </r>
      </text>
    </comment>
  </commentList>
</comments>
</file>

<file path=xl/sharedStrings.xml><?xml version="1.0" encoding="utf-8"?>
<sst xmlns="http://schemas.openxmlformats.org/spreadsheetml/2006/main" count="68" uniqueCount="67">
  <si>
    <t>DETAIL DES VALORISATIONS DES DEGATS / MANQUEMENTS LOCATIFS</t>
  </si>
  <si>
    <t>ADRESSE DE L'IMMEUBLE</t>
  </si>
  <si>
    <t xml:space="preserve">LOCATAIRE(S)  : </t>
  </si>
  <si>
    <t xml:space="preserve">BAILLEUR (S) : </t>
  </si>
  <si>
    <t xml:space="preserve">Présents ou représentés par :  </t>
  </si>
  <si>
    <t xml:space="preserve">Présents ou représentés par : </t>
  </si>
  <si>
    <t>EXPERT (s) en charge pour les parties :</t>
  </si>
  <si>
    <r>
      <t>Bureau d'Expertises NICOLAI &amp; Associés</t>
    </r>
    <r>
      <rPr>
        <sz val="10"/>
        <rFont val="Arial"/>
        <family val="2"/>
      </rPr>
      <t xml:space="preserve"> représenté par son gérant Michael Nicolaï, Géomètre-expert &amp; Expert immobilier légalement admis et assermenté en cette qualité près le Tribunal de Première Instance, dont le siège est établi à 1300  Wavre, Avenue Reine Astrid 16, ou son collaborateur représentant valablement désigné par celui-ci (Tél. +32 (0)10 45.10.05 - Fax : +32 (0)10 45 20 05 - www.expertsnicolai.be)</t>
    </r>
  </si>
  <si>
    <t>RECAPITULATIF DES DECOMPTES ET DEGATS DES POSTES CONSTATES  CI -DESSOUS</t>
  </si>
  <si>
    <t>TOTAL HTVA des valorisations*</t>
  </si>
  <si>
    <t>Autre suivant accord entre parties</t>
  </si>
  <si>
    <t xml:space="preserve">Indisponibilité des lieux suite travaux de remise en état </t>
  </si>
  <si>
    <t xml:space="preserve">non inclus - estimé à </t>
  </si>
  <si>
    <t>Coordination travaux de remise en état (10%)</t>
  </si>
  <si>
    <t>pour mémoire</t>
  </si>
  <si>
    <r>
      <t xml:space="preserve">Contre-valeur TVA 6% </t>
    </r>
    <r>
      <rPr>
        <sz val="9"/>
        <rFont val="Arial"/>
        <family val="2"/>
      </rPr>
      <t>(+10 ans résidentiel sur postes concernés)</t>
    </r>
  </si>
  <si>
    <r>
      <t xml:space="preserve">Contre-valeur TVA 21% </t>
    </r>
    <r>
      <rPr>
        <sz val="9"/>
        <rFont val="Arial"/>
        <family val="2"/>
      </rPr>
      <t>(Autres, Nettoyage, Extérieurs, expert, etc..)</t>
    </r>
  </si>
  <si>
    <r>
      <t xml:space="preserve">Total Indemnité Dégâts Locatifs et Frais </t>
    </r>
    <r>
      <rPr>
        <sz val="10"/>
        <rFont val="Arial"/>
        <family val="2"/>
      </rPr>
      <t>(hors préavis)</t>
    </r>
  </si>
  <si>
    <t>* Toutes les explications relatives aux postes ont été données et justifiées aux parties présentes. Vétusté et usage normal pris en compte</t>
  </si>
  <si>
    <t>*² Quote-part des prestations d'expertises à rajouter dans le décompte global et à honorer prioritairement dans les décomptes  (parties solidaires) .</t>
  </si>
  <si>
    <t>Etat des lieux  d'ENTREE du  :</t>
  </si>
  <si>
    <t>Etat des lieux de SORTIE du :</t>
  </si>
  <si>
    <t>RELEVES DES COMPTEURS</t>
  </si>
  <si>
    <t>Index 1</t>
  </si>
  <si>
    <t>Index 2 / autres</t>
  </si>
  <si>
    <r>
      <t xml:space="preserve">Compteur Eau </t>
    </r>
    <r>
      <rPr>
        <sz val="10"/>
        <rFont val="Arial"/>
        <family val="2"/>
      </rPr>
      <t>n°</t>
    </r>
    <r>
      <rPr>
        <b/>
        <sz val="10"/>
        <rFont val="Arial"/>
        <family val="2"/>
      </rPr>
      <t xml:space="preserve"> </t>
    </r>
  </si>
  <si>
    <r>
      <t xml:space="preserve">Compteur Electricité </t>
    </r>
    <r>
      <rPr>
        <sz val="10"/>
        <rFont val="Arial"/>
        <family val="2"/>
      </rPr>
      <t xml:space="preserve">n° </t>
    </r>
  </si>
  <si>
    <r>
      <t xml:space="preserve">Compteur Gaz </t>
    </r>
    <r>
      <rPr>
        <sz val="10"/>
        <rFont val="Arial"/>
        <family val="2"/>
      </rPr>
      <t xml:space="preserve">n° </t>
    </r>
  </si>
  <si>
    <t>(mémo : Transfert à régler par les parties via régies respectives - voir numéro EAN sur documents conservés par les parties)</t>
  </si>
  <si>
    <r>
      <t xml:space="preserve">Décompte jauge citerne </t>
    </r>
    <r>
      <rPr>
        <sz val="10"/>
        <rFont val="Arial"/>
        <family val="2"/>
      </rPr>
      <t>( Gaz-Mazout / Combustible )</t>
    </r>
  </si>
  <si>
    <t>litres</t>
  </si>
  <si>
    <t>prix:</t>
  </si>
  <si>
    <t>(sur base des lectures et contenances communiquées)</t>
  </si>
  <si>
    <t xml:space="preserve">Compteur Chaleur : S/N: </t>
  </si>
  <si>
    <t xml:space="preserve">Remplacement CLE(s) manquantes ou abimées : </t>
  </si>
  <si>
    <t>sous réserve / voir constat / Sur base des documents présentés</t>
  </si>
  <si>
    <t>Copies clés à prévoir</t>
  </si>
  <si>
    <t>Remplacement cylindre standard incluant serrurier</t>
  </si>
  <si>
    <t>Remplacement cylindre sécurité incluant serrurier</t>
  </si>
  <si>
    <t>Remplacement Détecteur manquant / Pile HS</t>
  </si>
  <si>
    <t>QTE</t>
  </si>
  <si>
    <t>Nature /surface</t>
  </si>
  <si>
    <t>PU</t>
  </si>
  <si>
    <t>Usure</t>
  </si>
  <si>
    <t>Total locataire</t>
  </si>
  <si>
    <t>en €</t>
  </si>
  <si>
    <t>déduite</t>
  </si>
  <si>
    <t xml:space="preserve">Entretien boiler </t>
  </si>
  <si>
    <t xml:space="preserve">Ramonage cheminée </t>
  </si>
  <si>
    <t xml:space="preserve">Entretien Chauffage </t>
  </si>
  <si>
    <t xml:space="preserve">Entretien Adoucisseur </t>
  </si>
  <si>
    <t>Entretien Alarme</t>
  </si>
  <si>
    <t>Entretien Ventilation / Filtre / Double Flux</t>
  </si>
  <si>
    <t>Vidange Fosse Septique (2 m³)</t>
  </si>
  <si>
    <r>
      <t>Défauts de NETTOYAGE :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(hors lavage murs / Plafonds - Déplacement, Main d'œuvre et matériel inclus)</t>
    </r>
    <r>
      <rPr>
        <sz val="10"/>
        <rFont val="Arial"/>
        <family val="2"/>
      </rPr>
      <t xml:space="preserve"> :</t>
    </r>
  </si>
  <si>
    <t>en unité ou heure</t>
  </si>
  <si>
    <r>
      <rPr>
        <b/>
        <u/>
        <sz val="10"/>
        <rFont val="Arial"/>
        <family val="2"/>
      </rPr>
      <t xml:space="preserve">PETITES INTERVENTIONS LOCATIVES </t>
    </r>
    <r>
      <rPr>
        <i/>
        <sz val="10"/>
        <rFont val="Arial"/>
        <family val="2"/>
      </rPr>
      <t xml:space="preserve">(défaut menu entretien locatif par personne prudente et raisonnable/ MO équipée - Dépl.inclus) </t>
    </r>
  </si>
  <si>
    <t>Main d'œuvre y compris déplacement</t>
  </si>
  <si>
    <t>Petites fournitures :</t>
  </si>
  <si>
    <t>AUTRES POSTES :</t>
  </si>
  <si>
    <t>Pour les parties suivant ordre de mission / bail, et clôturé sur base des constats par l'expert en charge :</t>
  </si>
  <si>
    <t>po L'expert en charge</t>
  </si>
  <si>
    <r>
      <t xml:space="preserve">DOCUMENTS RELATIFS AUX ENTRETIENS </t>
    </r>
    <r>
      <rPr>
        <sz val="10"/>
        <rFont val="Arial"/>
        <family val="2"/>
      </rPr>
      <t>(voir charges convenues / bail)</t>
    </r>
  </si>
  <si>
    <t>*Postes sous réserve de bon fonctionnement des équipements (électroménagers, prises, etc.), dégâts dissimulés ou occultes</t>
  </si>
  <si>
    <t>Les parties ont convenu que les lieux ont été libérés le jour des constats de l'état des lieux de sortie.</t>
  </si>
  <si>
    <t>Détails des dégâts, dépréciations ou manquements locatifs</t>
  </si>
  <si>
    <t>relevés non consécutifs à l'usure normale ou vétusté*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</si>
</sst>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€&quot;\ #,##0.00;[Red]&quot;€&quot;\ \-#,##0.00"/>
    <numFmt numFmtId="165" formatCode="#,##0\ &quot;FB&quot;"/>
    <numFmt numFmtId="166" formatCode="#,##0.00\ [$€-1]"/>
    <numFmt numFmtId="167" formatCode="#,##0.00\ &quot;€&quot;"/>
    <numFmt numFmtId="168" formatCode="_-* #,##0.00\ [$€]_-;\-* #,##0.00\ [$€]_-;_-* &quot;-&quot;??\ [$€]_-;_-@_-"/>
  </numFmts>
  <fonts count="2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b/>
      <i/>
      <u/>
      <sz val="10"/>
      <name val="Arial"/>
      <family val="2"/>
    </font>
    <font>
      <i/>
      <u/>
      <sz val="10"/>
      <name val="Arial"/>
      <family val="2"/>
    </font>
    <font>
      <b/>
      <i/>
      <u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10"/>
      <name val="Arial"/>
      <family val="2"/>
    </font>
    <font>
      <b/>
      <i/>
      <sz val="8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2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0" fillId="0" borderId="1" xfId="0" applyBorder="1"/>
    <xf numFmtId="0" fontId="0" fillId="0" borderId="3" xfId="0" applyBorder="1"/>
    <xf numFmtId="16" fontId="0" fillId="0" borderId="2" xfId="0" quotePrefix="1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2" xfId="0" applyBorder="1" applyAlignment="1">
      <alignment horizontal="centerContinuous"/>
    </xf>
    <xf numFmtId="0" fontId="7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0" fillId="0" borderId="1" xfId="0" applyBorder="1" applyAlignment="1">
      <alignment horizontal="left"/>
    </xf>
    <xf numFmtId="166" fontId="2" fillId="0" borderId="16" xfId="0" applyNumberFormat="1" applyFont="1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16" fontId="0" fillId="0" borderId="19" xfId="0" quotePrefix="1" applyNumberFormat="1" applyBorder="1" applyAlignment="1">
      <alignment horizontal="center"/>
    </xf>
    <xf numFmtId="166" fontId="2" fillId="0" borderId="0" xfId="0" applyNumberFormat="1" applyFont="1"/>
    <xf numFmtId="16" fontId="0" fillId="0" borderId="18" xfId="0" quotePrefix="1" applyNumberFormat="1" applyBorder="1" applyAlignment="1">
      <alignment horizontal="center"/>
    </xf>
    <xf numFmtId="166" fontId="2" fillId="0" borderId="18" xfId="0" applyNumberFormat="1" applyFont="1" applyBorder="1"/>
    <xf numFmtId="0" fontId="0" fillId="0" borderId="3" xfId="0" applyBorder="1" applyAlignment="1">
      <alignment horizontal="left"/>
    </xf>
    <xf numFmtId="167" fontId="0" fillId="0" borderId="3" xfId="0" applyNumberFormat="1" applyBorder="1"/>
    <xf numFmtId="0" fontId="2" fillId="0" borderId="2" xfId="0" applyFont="1" applyBorder="1"/>
    <xf numFmtId="166" fontId="2" fillId="0" borderId="17" xfId="0" applyNumberFormat="1" applyFont="1" applyBorder="1"/>
    <xf numFmtId="0" fontId="9" fillId="0" borderId="18" xfId="0" applyFont="1" applyBorder="1"/>
    <xf numFmtId="0" fontId="2" fillId="0" borderId="20" xfId="0" applyFont="1" applyBorder="1"/>
    <xf numFmtId="0" fontId="2" fillId="0" borderId="14" xfId="0" applyFont="1" applyBorder="1"/>
    <xf numFmtId="0" fontId="2" fillId="0" borderId="21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167" fontId="11" fillId="0" borderId="1" xfId="0" applyNumberFormat="1" applyFont="1" applyBorder="1"/>
    <xf numFmtId="166" fontId="11" fillId="0" borderId="3" xfId="0" applyNumberFormat="1" applyFont="1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wrapText="1"/>
    </xf>
    <xf numFmtId="9" fontId="0" fillId="0" borderId="2" xfId="0" applyNumberFormat="1" applyBorder="1" applyAlignment="1">
      <alignment horizontal="center" wrapText="1"/>
    </xf>
    <xf numFmtId="0" fontId="2" fillId="0" borderId="3" xfId="0" applyFont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left"/>
    </xf>
    <xf numFmtId="0" fontId="19" fillId="0" borderId="0" xfId="0" applyFont="1"/>
    <xf numFmtId="0" fontId="18" fillId="0" borderId="0" xfId="0" applyFont="1"/>
    <xf numFmtId="0" fontId="0" fillId="0" borderId="23" xfId="0" applyBorder="1" applyAlignment="1">
      <alignment horizontal="center"/>
    </xf>
    <xf numFmtId="0" fontId="2" fillId="0" borderId="24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4" xfId="0" applyFont="1" applyBorder="1"/>
    <xf numFmtId="166" fontId="2" fillId="0" borderId="25" xfId="0" applyNumberFormat="1" applyFont="1" applyBorder="1"/>
    <xf numFmtId="0" fontId="0" fillId="0" borderId="26" xfId="0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4" fillId="0" borderId="27" xfId="0" applyFont="1" applyBorder="1" applyAlignment="1">
      <alignment horizontal="left"/>
    </xf>
    <xf numFmtId="0" fontId="2" fillId="0" borderId="27" xfId="0" applyFont="1" applyBorder="1"/>
    <xf numFmtId="1" fontId="2" fillId="0" borderId="27" xfId="0" applyNumberFormat="1" applyFont="1" applyBorder="1"/>
    <xf numFmtId="166" fontId="2" fillId="0" borderId="28" xfId="0" applyNumberFormat="1" applyFont="1" applyBorder="1"/>
    <xf numFmtId="0" fontId="0" fillId="0" borderId="29" xfId="0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166" fontId="2" fillId="0" borderId="30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6" fontId="2" fillId="0" borderId="31" xfId="0" applyNumberFormat="1" applyFont="1" applyBorder="1"/>
    <xf numFmtId="0" fontId="0" fillId="0" borderId="32" xfId="0" applyBorder="1" applyAlignment="1">
      <alignment horizontal="center"/>
    </xf>
    <xf numFmtId="1" fontId="2" fillId="0" borderId="3" xfId="0" applyNumberFormat="1" applyFont="1" applyBorder="1"/>
    <xf numFmtId="0" fontId="0" fillId="0" borderId="33" xfId="0" applyBorder="1" applyAlignment="1">
      <alignment horizontal="center"/>
    </xf>
    <xf numFmtId="0" fontId="2" fillId="0" borderId="34" xfId="0" applyFont="1" applyBorder="1" applyAlignment="1">
      <alignment horizontal="left"/>
    </xf>
    <xf numFmtId="0" fontId="2" fillId="0" borderId="34" xfId="0" applyFont="1" applyBorder="1" applyAlignment="1">
      <alignment horizontal="center"/>
    </xf>
    <xf numFmtId="0" fontId="2" fillId="0" borderId="34" xfId="0" applyFont="1" applyBorder="1"/>
    <xf numFmtId="1" fontId="2" fillId="0" borderId="34" xfId="0" applyNumberFormat="1" applyFont="1" applyBorder="1"/>
    <xf numFmtId="166" fontId="2" fillId="0" borderId="35" xfId="0" applyNumberFormat="1" applyFont="1" applyBorder="1"/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/>
    <xf numFmtId="166" fontId="2" fillId="0" borderId="9" xfId="0" applyNumberFormat="1" applyFont="1" applyBorder="1"/>
    <xf numFmtId="0" fontId="2" fillId="0" borderId="0" xfId="0" applyFont="1" applyAlignment="1">
      <alignment horizontal="center"/>
    </xf>
    <xf numFmtId="1" fontId="2" fillId="0" borderId="0" xfId="0" applyNumberFormat="1" applyFont="1"/>
    <xf numFmtId="14" fontId="2" fillId="0" borderId="0" xfId="0" applyNumberFormat="1" applyFont="1"/>
    <xf numFmtId="0" fontId="9" fillId="0" borderId="19" xfId="0" applyFont="1" applyBorder="1"/>
    <xf numFmtId="16" fontId="0" fillId="0" borderId="36" xfId="0" quotePrefix="1" applyNumberFormat="1" applyBorder="1" applyAlignment="1">
      <alignment horizontal="center"/>
    </xf>
    <xf numFmtId="0" fontId="0" fillId="0" borderId="2" xfId="0" applyBorder="1" applyAlignment="1">
      <alignment horizontal="center"/>
    </xf>
    <xf numFmtId="167" fontId="0" fillId="0" borderId="1" xfId="0" applyNumberFormat="1" applyBorder="1"/>
    <xf numFmtId="166" fontId="11" fillId="0" borderId="1" xfId="0" applyNumberFormat="1" applyFont="1" applyBorder="1"/>
    <xf numFmtId="0" fontId="11" fillId="0" borderId="0" xfId="0" applyFont="1"/>
    <xf numFmtId="0" fontId="10" fillId="0" borderId="18" xfId="0" applyFont="1" applyBorder="1"/>
    <xf numFmtId="164" fontId="0" fillId="0" borderId="0" xfId="0" applyNumberFormat="1"/>
    <xf numFmtId="9" fontId="0" fillId="0" borderId="0" xfId="0" applyNumberFormat="1" applyAlignment="1">
      <alignment horizontal="center" wrapText="1"/>
    </xf>
    <xf numFmtId="0" fontId="10" fillId="0" borderId="0" xfId="0" applyFont="1" applyAlignment="1">
      <alignment horizontal="left"/>
    </xf>
    <xf numFmtId="167" fontId="11" fillId="0" borderId="0" xfId="0" applyNumberFormat="1" applyFont="1"/>
    <xf numFmtId="9" fontId="11" fillId="0" borderId="0" xfId="0" applyNumberFormat="1" applyFont="1"/>
    <xf numFmtId="0" fontId="0" fillId="0" borderId="19" xfId="0" applyBorder="1"/>
    <xf numFmtId="9" fontId="0" fillId="0" borderId="0" xfId="0" applyNumberFormat="1" applyAlignment="1">
      <alignment horizontal="left"/>
    </xf>
    <xf numFmtId="0" fontId="11" fillId="0" borderId="37" xfId="0" applyFont="1" applyBorder="1"/>
    <xf numFmtId="0" fontId="0" fillId="0" borderId="19" xfId="0" applyBorder="1" applyAlignment="1">
      <alignment horizontal="left"/>
    </xf>
    <xf numFmtId="0" fontId="13" fillId="0" borderId="19" xfId="0" applyFont="1" applyBorder="1"/>
    <xf numFmtId="166" fontId="11" fillId="0" borderId="19" xfId="0" applyNumberFormat="1" applyFont="1" applyBorder="1"/>
    <xf numFmtId="168" fontId="2" fillId="0" borderId="19" xfId="1" applyFont="1" applyBorder="1"/>
    <xf numFmtId="0" fontId="2" fillId="0" borderId="19" xfId="0" applyFont="1" applyBorder="1" applyAlignment="1">
      <alignment wrapText="1"/>
    </xf>
    <xf numFmtId="0" fontId="10" fillId="0" borderId="18" xfId="0" applyFont="1" applyBorder="1" applyAlignment="1">
      <alignment horizontal="left"/>
    </xf>
    <xf numFmtId="167" fontId="10" fillId="0" borderId="18" xfId="0" applyNumberFormat="1" applyFont="1" applyBorder="1"/>
    <xf numFmtId="166" fontId="1" fillId="0" borderId="18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167" fontId="11" fillId="0" borderId="1" xfId="0" applyNumberFormat="1" applyFont="1" applyBorder="1" applyAlignment="1">
      <alignment vertical="center" wrapText="1"/>
    </xf>
    <xf numFmtId="9" fontId="11" fillId="0" borderId="1" xfId="0" applyNumberFormat="1" applyFont="1" applyBorder="1" applyAlignment="1">
      <alignment vertical="center" wrapText="1"/>
    </xf>
    <xf numFmtId="166" fontId="1" fillId="0" borderId="16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27" xfId="0" applyFont="1" applyBorder="1" applyAlignment="1">
      <alignment horizontal="left"/>
    </xf>
    <xf numFmtId="9" fontId="11" fillId="0" borderId="1" xfId="0" applyNumberFormat="1" applyFont="1" applyBorder="1"/>
    <xf numFmtId="49" fontId="1" fillId="0" borderId="18" xfId="0" applyNumberFormat="1" applyFont="1" applyBorder="1"/>
    <xf numFmtId="0" fontId="1" fillId="0" borderId="3" xfId="0" quotePrefix="1" applyFont="1" applyBorder="1" applyAlignment="1">
      <alignment vertical="center" wrapText="1"/>
    </xf>
    <xf numFmtId="0" fontId="1" fillId="0" borderId="2" xfId="0" applyFont="1" applyBorder="1"/>
    <xf numFmtId="16" fontId="0" fillId="0" borderId="0" xfId="0" quotePrefix="1" applyNumberFormat="1" applyAlignment="1">
      <alignment horizontal="center"/>
    </xf>
    <xf numFmtId="0" fontId="10" fillId="0" borderId="0" xfId="0" applyFont="1"/>
    <xf numFmtId="0" fontId="0" fillId="0" borderId="0" xfId="0" applyAlignment="1">
      <alignment horizontal="left"/>
    </xf>
    <xf numFmtId="0" fontId="2" fillId="0" borderId="19" xfId="0" applyFont="1" applyBorder="1"/>
    <xf numFmtId="166" fontId="1" fillId="0" borderId="19" xfId="0" applyNumberFormat="1" applyFont="1" applyBorder="1"/>
    <xf numFmtId="9" fontId="1" fillId="0" borderId="2" xfId="0" applyNumberFormat="1" applyFont="1" applyBorder="1" applyAlignment="1">
      <alignment horizontal="center"/>
    </xf>
    <xf numFmtId="0" fontId="16" fillId="0" borderId="0" xfId="0" applyFont="1"/>
    <xf numFmtId="166" fontId="1" fillId="0" borderId="0" xfId="0" applyNumberFormat="1" applyFont="1"/>
    <xf numFmtId="0" fontId="0" fillId="0" borderId="18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24" xfId="0" applyNumberFormat="1" applyFont="1" applyBorder="1"/>
    <xf numFmtId="165" fontId="1" fillId="0" borderId="3" xfId="0" applyNumberFormat="1" applyFont="1" applyBorder="1"/>
    <xf numFmtId="165" fontId="1" fillId="0" borderId="1" xfId="0" applyNumberFormat="1" applyFont="1" applyBorder="1"/>
    <xf numFmtId="0" fontId="11" fillId="0" borderId="9" xfId="0" applyFont="1" applyBorder="1"/>
    <xf numFmtId="0" fontId="1" fillId="0" borderId="17" xfId="0" applyFont="1" applyBorder="1" applyAlignment="1">
      <alignment horizontal="left"/>
    </xf>
    <xf numFmtId="0" fontId="1" fillId="0" borderId="18" xfId="0" applyFont="1" applyBorder="1"/>
    <xf numFmtId="0" fontId="1" fillId="0" borderId="17" xfId="0" applyFont="1" applyBorder="1"/>
    <xf numFmtId="166" fontId="23" fillId="0" borderId="3" xfId="0" applyNumberFormat="1" applyFont="1" applyBorder="1"/>
    <xf numFmtId="0" fontId="1" fillId="0" borderId="1" xfId="0" applyFont="1" applyBorder="1" applyAlignment="1">
      <alignment horizontal="left"/>
    </xf>
    <xf numFmtId="15" fontId="1" fillId="0" borderId="0" xfId="0" applyNumberFormat="1" applyFont="1" applyAlignment="1">
      <alignment horizontal="left"/>
    </xf>
    <xf numFmtId="168" fontId="2" fillId="0" borderId="17" xfId="1" applyFont="1" applyBorder="1"/>
    <xf numFmtId="0" fontId="16" fillId="0" borderId="19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167" fontId="11" fillId="0" borderId="19" xfId="0" applyNumberFormat="1" applyFont="1" applyBorder="1"/>
    <xf numFmtId="166" fontId="2" fillId="0" borderId="19" xfId="0" applyNumberFormat="1" applyFont="1" applyBorder="1"/>
    <xf numFmtId="0" fontId="1" fillId="0" borderId="3" xfId="0" applyFont="1" applyBorder="1"/>
    <xf numFmtId="166" fontId="1" fillId="0" borderId="1" xfId="0" applyNumberFormat="1" applyFont="1" applyBorder="1"/>
    <xf numFmtId="0" fontId="0" fillId="0" borderId="3" xfId="0" applyBorder="1" applyAlignment="1">
      <alignment horizontal="center"/>
    </xf>
    <xf numFmtId="0" fontId="1" fillId="0" borderId="19" xfId="0" applyFont="1" applyBorder="1"/>
    <xf numFmtId="0" fontId="0" fillId="0" borderId="1" xfId="0" applyBorder="1" applyAlignment="1">
      <alignment horizontal="left" wrapText="1"/>
    </xf>
    <xf numFmtId="167" fontId="11" fillId="0" borderId="1" xfId="0" applyNumberFormat="1" applyFont="1" applyBorder="1" applyAlignment="1">
      <alignment wrapText="1"/>
    </xf>
    <xf numFmtId="9" fontId="11" fillId="0" borderId="1" xfId="0" applyNumberFormat="1" applyFont="1" applyBorder="1" applyAlignment="1">
      <alignment wrapText="1"/>
    </xf>
    <xf numFmtId="166" fontId="2" fillId="0" borderId="16" xfId="0" applyNumberFormat="1" applyFont="1" applyBorder="1" applyAlignment="1">
      <alignment wrapText="1"/>
    </xf>
    <xf numFmtId="0" fontId="11" fillId="0" borderId="27" xfId="0" applyFont="1" applyBorder="1" applyAlignment="1">
      <alignment horizontal="left"/>
    </xf>
    <xf numFmtId="0" fontId="11" fillId="0" borderId="45" xfId="0" applyFont="1" applyBorder="1" applyAlignment="1">
      <alignment horizontal="left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166" fontId="11" fillId="0" borderId="3" xfId="0" applyNumberFormat="1" applyFont="1" applyBorder="1" applyAlignment="1">
      <alignment vertical="center"/>
    </xf>
    <xf numFmtId="166" fontId="1" fillId="0" borderId="3" xfId="0" applyNumberFormat="1" applyFont="1" applyBorder="1" applyAlignment="1">
      <alignment vertical="center"/>
    </xf>
    <xf numFmtId="168" fontId="2" fillId="0" borderId="17" xfId="1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0" fillId="0" borderId="18" xfId="0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6" fontId="2" fillId="0" borderId="16" xfId="0" applyNumberFormat="1" applyFont="1" applyBorder="1" applyAlignment="1">
      <alignment vertical="center" wrapText="1"/>
    </xf>
    <xf numFmtId="0" fontId="1" fillId="0" borderId="37" xfId="0" applyFont="1" applyBorder="1"/>
    <xf numFmtId="0" fontId="10" fillId="0" borderId="37" xfId="0" applyFont="1" applyBorder="1" applyAlignment="1">
      <alignment horizontal="left"/>
    </xf>
    <xf numFmtId="0" fontId="0" fillId="0" borderId="37" xfId="0" applyBorder="1" applyAlignment="1">
      <alignment horizontal="center"/>
    </xf>
    <xf numFmtId="168" fontId="2" fillId="0" borderId="37" xfId="1" applyFont="1" applyBorder="1"/>
    <xf numFmtId="0" fontId="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0" fillId="0" borderId="0" xfId="0" applyFont="1" applyAlignment="1">
      <alignment horizontal="center" shrinkToFit="1"/>
    </xf>
    <xf numFmtId="0" fontId="18" fillId="0" borderId="0" xfId="0" applyFont="1" applyAlignment="1">
      <alignment horizontal="center" shrinkToFi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42" xfId="0" applyFont="1" applyBorder="1" applyAlignment="1">
      <alignment horizontal="left"/>
    </xf>
    <xf numFmtId="0" fontId="1" fillId="0" borderId="43" xfId="0" applyFont="1" applyBorder="1"/>
    <xf numFmtId="0" fontId="12" fillId="0" borderId="42" xfId="0" applyFont="1" applyBorder="1"/>
    <xf numFmtId="0" fontId="1" fillId="0" borderId="44" xfId="0" applyFont="1" applyBorder="1"/>
    <xf numFmtId="49" fontId="1" fillId="0" borderId="38" xfId="0" applyNumberFormat="1" applyFont="1" applyBorder="1" applyAlignment="1">
      <alignment horizontal="left"/>
    </xf>
    <xf numFmtId="49" fontId="0" fillId="0" borderId="39" xfId="0" applyNumberFormat="1" applyBorder="1"/>
    <xf numFmtId="49" fontId="0" fillId="0" borderId="40" xfId="0" applyNumberFormat="1" applyBorder="1"/>
    <xf numFmtId="49" fontId="0" fillId="0" borderId="39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  <xf numFmtId="49" fontId="0" fillId="0" borderId="18" xfId="0" applyNumberFormat="1" applyBorder="1"/>
    <xf numFmtId="49" fontId="0" fillId="0" borderId="2" xfId="0" applyNumberFormat="1" applyBorder="1"/>
    <xf numFmtId="49" fontId="0" fillId="0" borderId="18" xfId="0" applyNumberFormat="1" applyBorder="1" applyAlignment="1">
      <alignment horizontal="left"/>
    </xf>
    <xf numFmtId="49" fontId="1" fillId="0" borderId="17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2" fillId="0" borderId="4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9"/>
  <sheetViews>
    <sheetView tabSelected="1" topLeftCell="A57" zoomScale="115" zoomScaleNormal="115" zoomScaleSheetLayoutView="100" workbookViewId="0">
      <selection activeCell="C68" sqref="C68:I69"/>
    </sheetView>
  </sheetViews>
  <sheetFormatPr baseColWidth="10" defaultColWidth="11.42578125" defaultRowHeight="12.75" x14ac:dyDescent="0.2"/>
  <cols>
    <col min="1" max="1" width="2" customWidth="1"/>
    <col min="2" max="2" width="54" customWidth="1"/>
    <col min="3" max="3" width="7.140625" customWidth="1"/>
    <col min="4" max="4" width="4.140625" customWidth="1"/>
    <col min="5" max="5" width="4" customWidth="1"/>
    <col min="6" max="6" width="6.140625" customWidth="1"/>
    <col min="7" max="7" width="10.28515625" customWidth="1"/>
    <col min="8" max="8" width="11.140625" customWidth="1"/>
    <col min="9" max="9" width="18.42578125" customWidth="1"/>
  </cols>
  <sheetData>
    <row r="1" spans="1:11" ht="8.25" customHeight="1" x14ac:dyDescent="0.2">
      <c r="A1" s="15"/>
      <c r="B1" s="16"/>
      <c r="C1" s="16"/>
      <c r="D1" s="16"/>
      <c r="E1" s="16"/>
      <c r="F1" s="16"/>
      <c r="G1" s="16"/>
      <c r="H1" s="16"/>
      <c r="I1" s="17"/>
    </row>
    <row r="2" spans="1:11" ht="18" x14ac:dyDescent="0.25">
      <c r="A2" s="18"/>
      <c r="B2" s="19" t="s">
        <v>0</v>
      </c>
      <c r="C2" s="20"/>
      <c r="D2" s="20"/>
      <c r="E2" s="20"/>
      <c r="F2" s="20"/>
      <c r="G2" s="20"/>
      <c r="H2" s="20"/>
      <c r="I2" s="21"/>
    </row>
    <row r="3" spans="1:11" s="6" customFormat="1" ht="9" customHeight="1" thickBot="1" x14ac:dyDescent="0.3">
      <c r="A3" s="22"/>
      <c r="B3" s="23"/>
      <c r="C3" s="24"/>
      <c r="D3" s="24"/>
      <c r="E3" s="24"/>
      <c r="F3" s="24"/>
      <c r="G3" s="24"/>
      <c r="H3" s="24"/>
      <c r="I3" s="25"/>
      <c r="J3" s="5"/>
      <c r="K3" s="5"/>
    </row>
    <row r="4" spans="1:11" ht="9" customHeight="1" x14ac:dyDescent="0.2">
      <c r="I4" s="137"/>
    </row>
    <row r="5" spans="1:11" s="3" customFormat="1" ht="19.5" customHeight="1" x14ac:dyDescent="0.3">
      <c r="A5" s="4"/>
      <c r="B5" s="192" t="s">
        <v>1</v>
      </c>
      <c r="C5" s="193"/>
      <c r="D5" s="193"/>
      <c r="E5" s="193"/>
      <c r="F5" s="193"/>
      <c r="G5" s="193"/>
      <c r="H5" s="193"/>
      <c r="I5" s="193"/>
    </row>
    <row r="6" spans="1:11" s="3" customFormat="1" ht="22.5" customHeight="1" x14ac:dyDescent="0.3">
      <c r="A6" s="4"/>
      <c r="B6" s="194"/>
      <c r="C6" s="194"/>
      <c r="D6" s="194"/>
      <c r="E6" s="194"/>
      <c r="F6" s="194"/>
      <c r="G6" s="194"/>
      <c r="H6" s="194"/>
      <c r="I6" s="194"/>
    </row>
    <row r="7" spans="1:11" s="3" customFormat="1" ht="10.5" customHeight="1" x14ac:dyDescent="0.3">
      <c r="A7" s="4"/>
      <c r="B7" s="52"/>
      <c r="C7" s="53"/>
      <c r="D7" s="53"/>
      <c r="E7" s="53"/>
      <c r="F7" s="53"/>
      <c r="G7" s="53"/>
      <c r="H7" s="53"/>
      <c r="I7" s="53"/>
    </row>
    <row r="8" spans="1:11" x14ac:dyDescent="0.2">
      <c r="A8" s="54"/>
      <c r="B8" s="55" t="s">
        <v>2</v>
      </c>
      <c r="D8" s="195" t="s">
        <v>3</v>
      </c>
      <c r="E8" s="196"/>
      <c r="F8" s="196"/>
      <c r="G8" s="196"/>
      <c r="H8" s="196"/>
      <c r="I8" s="196"/>
    </row>
    <row r="9" spans="1:11" ht="18" customHeight="1" x14ac:dyDescent="0.2">
      <c r="A9" s="54"/>
      <c r="B9" s="136"/>
      <c r="C9" s="20"/>
      <c r="D9" s="197"/>
      <c r="E9" s="197"/>
      <c r="F9" s="197"/>
      <c r="G9" s="197"/>
      <c r="H9" s="197"/>
      <c r="I9" s="197"/>
    </row>
    <row r="10" spans="1:11" ht="18" customHeight="1" x14ac:dyDescent="0.2">
      <c r="A10" s="54"/>
      <c r="B10" s="136"/>
      <c r="C10" s="20"/>
      <c r="D10" s="197"/>
      <c r="E10" s="197"/>
      <c r="F10" s="197"/>
      <c r="G10" s="197"/>
      <c r="H10" s="197"/>
      <c r="I10" s="197"/>
    </row>
    <row r="11" spans="1:11" ht="18" customHeight="1" x14ac:dyDescent="0.2">
      <c r="A11" s="54"/>
      <c r="B11" s="136"/>
      <c r="C11" s="20"/>
      <c r="D11" s="197"/>
      <c r="E11" s="197"/>
      <c r="F11" s="197"/>
      <c r="G11" s="197"/>
      <c r="H11" s="197"/>
      <c r="I11" s="197"/>
    </row>
    <row r="12" spans="1:11" ht="18" customHeight="1" x14ac:dyDescent="0.2">
      <c r="A12" s="54"/>
      <c r="B12" s="136"/>
      <c r="C12" s="20"/>
      <c r="D12" s="197"/>
      <c r="E12" s="197"/>
      <c r="F12" s="197"/>
      <c r="G12" s="197"/>
      <c r="H12" s="197"/>
      <c r="I12" s="197"/>
    </row>
    <row r="13" spans="1:11" ht="21" customHeight="1" x14ac:dyDescent="0.2">
      <c r="A13" s="54"/>
      <c r="B13" s="56" t="s">
        <v>4</v>
      </c>
      <c r="C13" s="20"/>
      <c r="D13" s="198" t="s">
        <v>5</v>
      </c>
      <c r="E13" s="199"/>
      <c r="F13" s="198"/>
      <c r="G13" s="198"/>
      <c r="H13" s="198"/>
      <c r="I13" s="198"/>
    </row>
    <row r="14" spans="1:11" ht="15" customHeight="1" x14ac:dyDescent="0.2">
      <c r="A14" s="54"/>
      <c r="B14" s="136"/>
      <c r="C14" s="20"/>
      <c r="D14" s="197"/>
      <c r="E14" s="197"/>
      <c r="F14" s="197"/>
      <c r="G14" s="197"/>
      <c r="H14" s="197"/>
      <c r="I14" s="197"/>
    </row>
    <row r="15" spans="1:11" ht="14.25" customHeight="1" x14ac:dyDescent="0.2">
      <c r="B15" s="57"/>
    </row>
    <row r="16" spans="1:11" ht="15" customHeight="1" x14ac:dyDescent="0.2">
      <c r="B16" s="55" t="s">
        <v>6</v>
      </c>
    </row>
    <row r="17" spans="1:9" ht="56.25" customHeight="1" x14ac:dyDescent="0.2">
      <c r="A17" s="2"/>
      <c r="B17" s="200" t="s">
        <v>7</v>
      </c>
      <c r="C17" s="201"/>
      <c r="D17" s="201"/>
      <c r="E17" s="201"/>
      <c r="F17" s="201"/>
      <c r="G17" s="201"/>
      <c r="H17" s="201"/>
      <c r="I17" s="201"/>
    </row>
    <row r="18" spans="1:9" ht="18" customHeight="1" x14ac:dyDescent="0.2">
      <c r="A18" s="2"/>
      <c r="B18" s="137"/>
    </row>
    <row r="19" spans="1:9" ht="13.5" thickBot="1" x14ac:dyDescent="0.25">
      <c r="A19" s="202" t="s">
        <v>8</v>
      </c>
      <c r="B19" s="203"/>
      <c r="C19" s="203"/>
      <c r="D19" s="203"/>
      <c r="E19" s="203"/>
      <c r="F19" s="203"/>
      <c r="G19" s="203"/>
      <c r="H19" s="203"/>
      <c r="I19" s="203"/>
    </row>
    <row r="20" spans="1:9" ht="15" customHeight="1" x14ac:dyDescent="0.2">
      <c r="A20" s="58"/>
      <c r="B20" s="59" t="s">
        <v>9</v>
      </c>
      <c r="C20" s="60"/>
      <c r="D20" s="60"/>
      <c r="E20" s="60"/>
      <c r="F20" s="60"/>
      <c r="G20" s="61"/>
      <c r="H20" s="138"/>
      <c r="I20" s="62">
        <f>(SUM(I37:I37))+(SUM(I42:I132))</f>
        <v>0</v>
      </c>
    </row>
    <row r="21" spans="1:9" x14ac:dyDescent="0.2">
      <c r="A21" s="63"/>
      <c r="B21" s="122" t="s">
        <v>10</v>
      </c>
      <c r="C21" s="64"/>
      <c r="D21" s="65"/>
      <c r="E21" s="64"/>
      <c r="F21" s="64"/>
      <c r="G21" s="66"/>
      <c r="H21" s="67"/>
      <c r="I21" s="68"/>
    </row>
    <row r="22" spans="1:9" x14ac:dyDescent="0.2">
      <c r="A22" s="69"/>
      <c r="B22" s="70" t="s">
        <v>11</v>
      </c>
      <c r="C22" s="71"/>
      <c r="D22" s="161" t="s">
        <v>12</v>
      </c>
      <c r="E22" s="71"/>
      <c r="F22" s="71"/>
      <c r="G22" s="51"/>
      <c r="H22" s="139"/>
      <c r="I22" s="72"/>
    </row>
    <row r="23" spans="1:9" x14ac:dyDescent="0.2">
      <c r="A23" s="69"/>
      <c r="B23" s="73" t="s">
        <v>13</v>
      </c>
      <c r="C23" s="74"/>
      <c r="D23" s="162" t="s">
        <v>14</v>
      </c>
      <c r="E23" s="74"/>
      <c r="F23" s="74"/>
      <c r="G23" s="75"/>
      <c r="H23" s="140"/>
      <c r="I23" s="76"/>
    </row>
    <row r="24" spans="1:9" x14ac:dyDescent="0.2">
      <c r="A24" s="69"/>
      <c r="B24" s="73" t="s">
        <v>15</v>
      </c>
      <c r="C24" s="74"/>
      <c r="D24" s="74"/>
      <c r="E24" s="74"/>
      <c r="F24" s="74"/>
      <c r="G24" s="75"/>
      <c r="H24" s="140"/>
      <c r="I24" s="76"/>
    </row>
    <row r="25" spans="1:9" x14ac:dyDescent="0.2">
      <c r="A25" s="77"/>
      <c r="B25" s="70" t="s">
        <v>16</v>
      </c>
      <c r="C25" s="71"/>
      <c r="D25" s="71"/>
      <c r="E25" s="71"/>
      <c r="F25" s="71"/>
      <c r="G25" s="51"/>
      <c r="H25" s="78"/>
      <c r="I25" s="72"/>
    </row>
    <row r="26" spans="1:9" ht="13.5" thickBot="1" x14ac:dyDescent="0.25">
      <c r="A26" s="79"/>
      <c r="B26" s="80" t="s">
        <v>17</v>
      </c>
      <c r="C26" s="81"/>
      <c r="D26" s="81"/>
      <c r="E26" s="81"/>
      <c r="F26" s="81"/>
      <c r="G26" s="82"/>
      <c r="H26" s="83"/>
      <c r="I26" s="84">
        <f>I20+I21+I24+I25+I23</f>
        <v>0</v>
      </c>
    </row>
    <row r="27" spans="1:9" x14ac:dyDescent="0.2">
      <c r="A27" s="85"/>
      <c r="B27" s="141" t="s">
        <v>18</v>
      </c>
      <c r="C27" s="86"/>
      <c r="D27" s="86"/>
      <c r="E27" s="86"/>
      <c r="F27" s="86"/>
      <c r="G27" s="87"/>
      <c r="H27" s="88"/>
      <c r="I27" s="89"/>
    </row>
    <row r="28" spans="1:9" x14ac:dyDescent="0.2">
      <c r="A28" s="53"/>
      <c r="B28" s="98" t="s">
        <v>19</v>
      </c>
      <c r="C28" s="90"/>
      <c r="D28" s="90"/>
      <c r="E28" s="90"/>
      <c r="F28" s="90"/>
      <c r="G28" s="1"/>
      <c r="H28" s="91"/>
      <c r="I28" s="33"/>
    </row>
    <row r="29" spans="1:9" x14ac:dyDescent="0.2">
      <c r="A29" s="53"/>
      <c r="B29" s="98"/>
      <c r="C29" s="90"/>
      <c r="D29" s="90"/>
      <c r="E29" s="90"/>
      <c r="F29" s="90"/>
      <c r="G29" s="1"/>
      <c r="H29" s="91"/>
      <c r="I29" s="33"/>
    </row>
    <row r="30" spans="1:9" x14ac:dyDescent="0.2">
      <c r="A30" s="53"/>
      <c r="B30" s="98"/>
      <c r="C30" s="2" t="s">
        <v>20</v>
      </c>
      <c r="D30" s="90"/>
      <c r="E30" s="90"/>
      <c r="F30" s="90"/>
      <c r="G30" s="1"/>
      <c r="I30" s="92"/>
    </row>
    <row r="31" spans="1:9" x14ac:dyDescent="0.2">
      <c r="A31" s="53"/>
      <c r="B31" s="98"/>
      <c r="C31" s="2" t="s">
        <v>21</v>
      </c>
      <c r="D31" s="90"/>
      <c r="E31" s="90"/>
      <c r="F31" s="90"/>
      <c r="G31" s="1"/>
      <c r="I31" s="92"/>
    </row>
    <row r="32" spans="1:9" ht="15.75" customHeight="1" x14ac:dyDescent="0.2">
      <c r="A32" s="53"/>
      <c r="B32" s="136"/>
      <c r="C32" s="90"/>
      <c r="D32" s="90"/>
      <c r="E32" s="90"/>
      <c r="F32" s="90"/>
      <c r="G32" s="1"/>
      <c r="H32" s="91"/>
      <c r="I32" s="33"/>
    </row>
    <row r="33" spans="1:9" ht="11.25" customHeight="1" x14ac:dyDescent="0.2">
      <c r="A33" s="32"/>
      <c r="B33" s="93" t="s">
        <v>22</v>
      </c>
      <c r="C33" s="204" t="s">
        <v>23</v>
      </c>
      <c r="D33" s="205"/>
      <c r="E33" s="205"/>
      <c r="F33" s="205"/>
      <c r="G33" s="206" t="s">
        <v>24</v>
      </c>
      <c r="H33" s="205"/>
      <c r="I33" s="207"/>
    </row>
    <row r="34" spans="1:9" x14ac:dyDescent="0.2">
      <c r="A34" s="9"/>
      <c r="B34" s="51" t="s">
        <v>25</v>
      </c>
      <c r="C34" s="208"/>
      <c r="D34" s="209"/>
      <c r="E34" s="209"/>
      <c r="F34" s="210"/>
      <c r="G34" s="211"/>
      <c r="H34" s="211"/>
      <c r="I34" s="211"/>
    </row>
    <row r="35" spans="1:9" x14ac:dyDescent="0.2">
      <c r="A35" s="94"/>
      <c r="B35" s="51" t="s">
        <v>26</v>
      </c>
      <c r="C35" s="212"/>
      <c r="D35" s="213"/>
      <c r="E35" s="213"/>
      <c r="F35" s="214"/>
      <c r="G35" s="215"/>
      <c r="H35" s="215"/>
      <c r="I35" s="215"/>
    </row>
    <row r="36" spans="1:9" x14ac:dyDescent="0.2">
      <c r="A36" s="34"/>
      <c r="B36" s="51" t="s">
        <v>27</v>
      </c>
      <c r="C36" s="216"/>
      <c r="D36" s="217"/>
      <c r="E36" s="217"/>
      <c r="F36" s="218"/>
      <c r="G36" s="216"/>
      <c r="H36" s="217"/>
      <c r="I36" s="124"/>
    </row>
    <row r="37" spans="1:9" x14ac:dyDescent="0.2">
      <c r="A37" s="32"/>
      <c r="B37" s="99" t="s">
        <v>28</v>
      </c>
      <c r="C37" s="29"/>
      <c r="D37" s="28"/>
      <c r="E37" s="28"/>
      <c r="F37" s="28"/>
      <c r="G37" s="28"/>
      <c r="H37" s="28"/>
      <c r="I37" s="35"/>
    </row>
    <row r="38" spans="1:9" x14ac:dyDescent="0.2">
      <c r="A38" s="9"/>
      <c r="B38" s="51" t="s">
        <v>29</v>
      </c>
      <c r="C38" s="142">
        <v>0</v>
      </c>
      <c r="D38" s="143"/>
      <c r="E38" s="143" t="s">
        <v>30</v>
      </c>
      <c r="F38" s="126"/>
      <c r="G38" s="144" t="s">
        <v>31</v>
      </c>
      <c r="H38" s="145">
        <v>0</v>
      </c>
      <c r="I38" s="39">
        <v>0</v>
      </c>
    </row>
    <row r="39" spans="1:9" x14ac:dyDescent="0.2">
      <c r="A39" s="127"/>
      <c r="B39" s="128" t="s">
        <v>32</v>
      </c>
      <c r="C39" s="129"/>
      <c r="H39" s="98"/>
      <c r="I39" s="33"/>
    </row>
    <row r="40" spans="1:9" x14ac:dyDescent="0.2">
      <c r="A40" s="32"/>
      <c r="B40" s="128" t="s">
        <v>33</v>
      </c>
      <c r="C40" s="129"/>
      <c r="H40" s="98"/>
      <c r="I40" s="33"/>
    </row>
    <row r="41" spans="1:9" x14ac:dyDescent="0.2">
      <c r="A41" s="188"/>
      <c r="B41" s="38" t="s">
        <v>34</v>
      </c>
      <c r="C41" s="36"/>
      <c r="D41" s="31" t="s">
        <v>35</v>
      </c>
      <c r="E41" s="8"/>
      <c r="F41" s="8"/>
      <c r="G41" s="37"/>
      <c r="H41" s="47"/>
      <c r="I41" s="39"/>
    </row>
    <row r="42" spans="1:9" s="49" customFormat="1" ht="12.75" customHeight="1" x14ac:dyDescent="0.2">
      <c r="A42" s="32"/>
      <c r="B42" s="126" t="s">
        <v>36</v>
      </c>
      <c r="C42" s="146">
        <v>0</v>
      </c>
      <c r="D42" s="30"/>
      <c r="E42" s="7"/>
      <c r="F42" s="7"/>
      <c r="G42" s="96">
        <v>15</v>
      </c>
      <c r="H42" s="97"/>
      <c r="I42" s="27">
        <f>G42*C42</f>
        <v>0</v>
      </c>
    </row>
    <row r="43" spans="1:9" s="49" customFormat="1" x14ac:dyDescent="0.2">
      <c r="A43" s="9"/>
      <c r="B43" s="126" t="s">
        <v>37</v>
      </c>
      <c r="C43" s="146">
        <v>0</v>
      </c>
      <c r="D43" s="31"/>
      <c r="E43" s="8"/>
      <c r="F43" s="8"/>
      <c r="G43" s="37">
        <f>45+90</f>
        <v>135</v>
      </c>
      <c r="H43" s="47"/>
      <c r="I43" s="27">
        <f>G43*C43</f>
        <v>0</v>
      </c>
    </row>
    <row r="44" spans="1:9" s="49" customFormat="1" x14ac:dyDescent="0.2">
      <c r="A44" s="9"/>
      <c r="B44" s="126" t="s">
        <v>38</v>
      </c>
      <c r="C44" s="146">
        <v>0</v>
      </c>
      <c r="D44" s="31"/>
      <c r="E44" s="7"/>
      <c r="F44" s="7"/>
      <c r="G44" s="96">
        <f>250+90</f>
        <v>340</v>
      </c>
      <c r="H44" s="97"/>
      <c r="I44" s="27">
        <f>G44*C44</f>
        <v>0</v>
      </c>
    </row>
    <row r="45" spans="1:9" s="49" customFormat="1" ht="12.75" customHeight="1" x14ac:dyDescent="0.2">
      <c r="A45" s="9"/>
      <c r="B45" s="126" t="s">
        <v>39</v>
      </c>
      <c r="C45" s="36">
        <v>0</v>
      </c>
      <c r="D45" s="31"/>
      <c r="E45" s="8"/>
      <c r="F45" s="8"/>
      <c r="G45" s="37">
        <v>30</v>
      </c>
      <c r="H45" s="47"/>
      <c r="I45" s="27">
        <f>G45*C45</f>
        <v>0</v>
      </c>
    </row>
    <row r="46" spans="1:9" ht="13.5" thickBot="1" x14ac:dyDescent="0.25">
      <c r="A46" s="95"/>
      <c r="B46" s="147"/>
      <c r="D46" s="2"/>
      <c r="E46" s="2"/>
      <c r="F46" s="2"/>
      <c r="H46" s="2"/>
    </row>
    <row r="47" spans="1:9" ht="15" customHeight="1" x14ac:dyDescent="0.2">
      <c r="A47" s="189"/>
      <c r="B47" s="190" t="s">
        <v>65</v>
      </c>
      <c r="C47" s="10" t="s">
        <v>40</v>
      </c>
      <c r="D47" s="219" t="s">
        <v>41</v>
      </c>
      <c r="E47" s="220"/>
      <c r="F47" s="221"/>
      <c r="G47" s="10" t="s">
        <v>42</v>
      </c>
      <c r="H47" s="44" t="s">
        <v>43</v>
      </c>
      <c r="I47" s="11" t="s">
        <v>44</v>
      </c>
    </row>
    <row r="48" spans="1:9" ht="18" customHeight="1" thickBot="1" x14ac:dyDescent="0.25">
      <c r="A48" s="189"/>
      <c r="B48" s="191" t="s">
        <v>66</v>
      </c>
      <c r="C48" s="13"/>
      <c r="D48" s="41"/>
      <c r="E48" s="42"/>
      <c r="F48" s="43"/>
      <c r="G48" s="12" t="s">
        <v>45</v>
      </c>
      <c r="H48" s="45" t="s">
        <v>46</v>
      </c>
      <c r="I48" s="14"/>
    </row>
    <row r="49" spans="1:9" x14ac:dyDescent="0.2">
      <c r="A49" s="50"/>
      <c r="B49" s="107" t="s">
        <v>63</v>
      </c>
      <c r="C49" s="1"/>
      <c r="D49" s="1"/>
      <c r="E49" s="1"/>
      <c r="F49" s="1"/>
      <c r="G49" s="1"/>
      <c r="H49" s="1"/>
      <c r="I49" s="1"/>
    </row>
    <row r="50" spans="1:9" x14ac:dyDescent="0.2">
      <c r="A50" s="50"/>
      <c r="B50" s="98"/>
      <c r="C50" s="1"/>
      <c r="D50" s="1"/>
      <c r="E50" s="1"/>
      <c r="F50" s="1"/>
      <c r="G50" s="1"/>
      <c r="H50" s="1"/>
      <c r="I50" s="1"/>
    </row>
    <row r="51" spans="1:9" ht="15" customHeight="1" x14ac:dyDescent="0.2">
      <c r="A51" s="130"/>
      <c r="B51" s="93" t="s">
        <v>62</v>
      </c>
      <c r="C51" s="105"/>
      <c r="D51" s="109"/>
      <c r="E51" s="109"/>
      <c r="F51" s="109"/>
      <c r="G51" s="110"/>
      <c r="H51" s="131"/>
      <c r="I51" s="111"/>
    </row>
    <row r="52" spans="1:9" ht="12.75" customHeight="1" x14ac:dyDescent="0.2">
      <c r="A52" s="132"/>
      <c r="B52" s="163" t="s">
        <v>47</v>
      </c>
      <c r="C52" s="164">
        <v>0</v>
      </c>
      <c r="D52" s="165"/>
      <c r="E52" s="165"/>
      <c r="F52" s="165"/>
      <c r="G52" s="166">
        <v>150</v>
      </c>
      <c r="H52" s="167"/>
      <c r="I52" s="168">
        <f t="shared" ref="I52:I58" si="0">G52*C52</f>
        <v>0</v>
      </c>
    </row>
    <row r="53" spans="1:9" x14ac:dyDescent="0.2">
      <c r="A53" s="38"/>
      <c r="B53" s="163" t="s">
        <v>48</v>
      </c>
      <c r="C53" s="164">
        <v>0</v>
      </c>
      <c r="D53" s="165"/>
      <c r="E53" s="165"/>
      <c r="F53" s="165"/>
      <c r="G53" s="166">
        <v>100</v>
      </c>
      <c r="H53" s="167"/>
      <c r="I53" s="168">
        <f t="shared" si="0"/>
        <v>0</v>
      </c>
    </row>
    <row r="54" spans="1:9" x14ac:dyDescent="0.2">
      <c r="A54" s="38"/>
      <c r="B54" s="169" t="s">
        <v>49</v>
      </c>
      <c r="C54" s="164">
        <v>0</v>
      </c>
      <c r="D54" s="165"/>
      <c r="E54" s="165"/>
      <c r="F54" s="165"/>
      <c r="G54" s="166">
        <v>240</v>
      </c>
      <c r="H54" s="167"/>
      <c r="I54" s="168">
        <f t="shared" si="0"/>
        <v>0</v>
      </c>
    </row>
    <row r="55" spans="1:9" x14ac:dyDescent="0.2">
      <c r="A55" s="38"/>
      <c r="B55" s="169" t="s">
        <v>50</v>
      </c>
      <c r="C55" s="164">
        <v>0</v>
      </c>
      <c r="D55" s="165"/>
      <c r="E55" s="165"/>
      <c r="F55" s="165"/>
      <c r="G55" s="166">
        <v>120</v>
      </c>
      <c r="H55" s="167"/>
      <c r="I55" s="168">
        <f t="shared" si="0"/>
        <v>0</v>
      </c>
    </row>
    <row r="56" spans="1:9" x14ac:dyDescent="0.2">
      <c r="A56" s="38"/>
      <c r="B56" s="170" t="s">
        <v>51</v>
      </c>
      <c r="C56" s="164">
        <v>0</v>
      </c>
      <c r="D56" s="165"/>
      <c r="E56" s="165"/>
      <c r="F56" s="165"/>
      <c r="G56" s="166">
        <v>180</v>
      </c>
      <c r="H56" s="167"/>
      <c r="I56" s="168">
        <f t="shared" si="0"/>
        <v>0</v>
      </c>
    </row>
    <row r="57" spans="1:9" x14ac:dyDescent="0.2">
      <c r="A57" s="38"/>
      <c r="B57" s="170" t="s">
        <v>52</v>
      </c>
      <c r="C57" s="171">
        <v>0</v>
      </c>
      <c r="D57" s="165"/>
      <c r="E57" s="165"/>
      <c r="F57" s="165"/>
      <c r="G57" s="166">
        <v>150</v>
      </c>
      <c r="H57" s="167"/>
      <c r="I57" s="168">
        <f t="shared" si="0"/>
        <v>0</v>
      </c>
    </row>
    <row r="58" spans="1:9" x14ac:dyDescent="0.2">
      <c r="A58" s="38"/>
      <c r="B58" s="170" t="s">
        <v>53</v>
      </c>
      <c r="C58" s="171">
        <v>0</v>
      </c>
      <c r="D58" s="165"/>
      <c r="E58" s="165"/>
      <c r="F58" s="165"/>
      <c r="G58" s="166">
        <v>120</v>
      </c>
      <c r="H58" s="167"/>
      <c r="I58" s="168">
        <f t="shared" si="0"/>
        <v>0</v>
      </c>
    </row>
    <row r="59" spans="1:9" x14ac:dyDescent="0.2">
      <c r="A59" s="130"/>
      <c r="B59" s="112"/>
      <c r="C59" s="108"/>
      <c r="D59" s="109"/>
      <c r="E59" s="109"/>
      <c r="F59" s="109"/>
      <c r="G59" s="110"/>
      <c r="H59" s="131"/>
      <c r="I59" s="111"/>
    </row>
    <row r="60" spans="1:9" s="49" customFormat="1" ht="19.5" customHeight="1" x14ac:dyDescent="0.2">
      <c r="A60" s="32"/>
      <c r="B60" s="40" t="s">
        <v>54</v>
      </c>
      <c r="C60" s="149"/>
      <c r="D60" s="150"/>
      <c r="E60" s="105"/>
      <c r="F60" s="105"/>
      <c r="G60" s="151"/>
      <c r="H60" s="131"/>
      <c r="I60" s="152"/>
    </row>
    <row r="61" spans="1:9" s="49" customFormat="1" x14ac:dyDescent="0.2">
      <c r="A61" s="9"/>
      <c r="B61" s="153"/>
      <c r="C61" s="26">
        <v>0</v>
      </c>
      <c r="D61" s="31" t="s">
        <v>55</v>
      </c>
      <c r="E61" s="71"/>
      <c r="F61" s="71"/>
      <c r="G61" s="46">
        <v>35</v>
      </c>
      <c r="H61" s="154"/>
      <c r="I61" s="148">
        <f>G61*C61</f>
        <v>0</v>
      </c>
    </row>
    <row r="62" spans="1:9" s="49" customFormat="1" x14ac:dyDescent="0.2">
      <c r="A62" s="9"/>
      <c r="B62" s="153"/>
      <c r="C62" s="26"/>
      <c r="D62" s="31"/>
      <c r="E62" s="71"/>
      <c r="F62" s="71"/>
      <c r="G62" s="46"/>
      <c r="H62" s="154"/>
      <c r="I62" s="148"/>
    </row>
    <row r="63" spans="1:9" s="49" customFormat="1" ht="12.75" customHeight="1" x14ac:dyDescent="0.2">
      <c r="A63" s="9"/>
      <c r="B63" s="153"/>
      <c r="C63" s="26"/>
      <c r="D63" s="31"/>
      <c r="E63" s="155"/>
      <c r="F63" s="155"/>
      <c r="G63" s="46"/>
      <c r="H63" s="154"/>
      <c r="I63" s="148"/>
    </row>
    <row r="64" spans="1:9" x14ac:dyDescent="0.2">
      <c r="A64" s="95"/>
      <c r="B64" s="153"/>
      <c r="C64" s="26"/>
      <c r="D64" s="31"/>
      <c r="E64" s="155"/>
      <c r="F64" s="155"/>
      <c r="G64" s="96"/>
      <c r="H64" s="154"/>
      <c r="I64" s="148"/>
    </row>
    <row r="65" spans="1:9" x14ac:dyDescent="0.2">
      <c r="A65" s="95"/>
      <c r="B65" s="153"/>
      <c r="C65" s="26"/>
      <c r="D65" s="31"/>
      <c r="E65" s="155"/>
      <c r="F65" s="155"/>
      <c r="G65" s="96"/>
      <c r="H65" s="154"/>
      <c r="I65" s="148"/>
    </row>
    <row r="66" spans="1:9" s="49" customFormat="1" ht="6" customHeight="1" x14ac:dyDescent="0.2">
      <c r="A66" s="127"/>
      <c r="B66" s="133"/>
      <c r="C66" s="129"/>
      <c r="D66" s="102"/>
      <c r="E66"/>
      <c r="F66"/>
      <c r="G66" s="103"/>
      <c r="H66" s="134"/>
      <c r="I66" s="33"/>
    </row>
    <row r="67" spans="1:9" x14ac:dyDescent="0.2">
      <c r="A67" s="32"/>
      <c r="B67" s="156" t="s">
        <v>56</v>
      </c>
      <c r="C67" s="149"/>
      <c r="D67" s="150"/>
      <c r="E67" s="105"/>
      <c r="F67" s="105"/>
      <c r="G67" s="151"/>
      <c r="H67" s="131"/>
      <c r="I67" s="152"/>
    </row>
    <row r="68" spans="1:9" s="49" customFormat="1" x14ac:dyDescent="0.2">
      <c r="A68" s="9"/>
      <c r="B68" s="153" t="s">
        <v>57</v>
      </c>
      <c r="C68" s="26">
        <v>0</v>
      </c>
      <c r="D68" s="31" t="s">
        <v>55</v>
      </c>
      <c r="E68" s="71"/>
      <c r="F68" s="71"/>
      <c r="G68" s="46">
        <v>50</v>
      </c>
      <c r="H68" s="154"/>
      <c r="I68" s="148">
        <f>G68*C68</f>
        <v>0</v>
      </c>
    </row>
    <row r="69" spans="1:9" s="49" customFormat="1" x14ac:dyDescent="0.2">
      <c r="A69" s="9"/>
      <c r="B69" s="153" t="s">
        <v>58</v>
      </c>
      <c r="C69" s="157">
        <v>0</v>
      </c>
      <c r="D69" s="31"/>
      <c r="E69" s="155"/>
      <c r="F69" s="155"/>
      <c r="G69" s="158">
        <f>F69/40.3399</f>
        <v>0</v>
      </c>
      <c r="H69" s="159">
        <v>0</v>
      </c>
      <c r="I69" s="160">
        <f>G69*C69</f>
        <v>0</v>
      </c>
    </row>
    <row r="70" spans="1:9" s="49" customFormat="1" x14ac:dyDescent="0.2">
      <c r="A70" s="9"/>
      <c r="B70" s="153"/>
      <c r="C70" s="26"/>
      <c r="D70" s="31"/>
      <c r="E70" s="71"/>
      <c r="F70" s="71"/>
      <c r="G70" s="46"/>
      <c r="H70" s="154"/>
      <c r="I70" s="148"/>
    </row>
    <row r="71" spans="1:9" s="49" customFormat="1" ht="12.75" customHeight="1" x14ac:dyDescent="0.2">
      <c r="A71" s="9"/>
      <c r="B71" s="153"/>
      <c r="C71" s="26"/>
      <c r="D71" s="31"/>
      <c r="E71" s="155"/>
      <c r="F71" s="155"/>
      <c r="G71" s="46"/>
      <c r="H71" s="154"/>
      <c r="I71" s="148"/>
    </row>
    <row r="72" spans="1:9" s="49" customFormat="1" ht="12.75" customHeight="1" x14ac:dyDescent="0.2">
      <c r="A72" s="34"/>
      <c r="B72" s="182"/>
      <c r="C72" s="129"/>
      <c r="D72" s="183"/>
      <c r="E72" s="184"/>
      <c r="F72" s="184"/>
      <c r="G72" s="103"/>
      <c r="H72" s="134"/>
      <c r="I72" s="185"/>
    </row>
    <row r="73" spans="1:9" ht="17.25" customHeight="1" x14ac:dyDescent="0.2">
      <c r="A73" s="135"/>
      <c r="B73" s="40" t="s">
        <v>59</v>
      </c>
      <c r="C73" s="114"/>
      <c r="D73" s="113"/>
      <c r="E73" s="28"/>
      <c r="F73" s="28"/>
      <c r="G73" s="28"/>
      <c r="H73" s="115"/>
      <c r="I73" s="35"/>
    </row>
    <row r="74" spans="1:9" x14ac:dyDescent="0.2">
      <c r="A74" s="48"/>
      <c r="B74" s="186"/>
      <c r="C74" s="180">
        <v>0</v>
      </c>
      <c r="D74" s="177"/>
      <c r="E74" s="187"/>
      <c r="F74" s="187"/>
      <c r="G74" s="117">
        <f t="shared" ref="G74:G113" si="1">F74/40.3399</f>
        <v>0</v>
      </c>
      <c r="H74" s="118">
        <v>0</v>
      </c>
      <c r="I74" s="181">
        <f t="shared" ref="I74:I130" si="2">C74*G74*(1-H74)</f>
        <v>0</v>
      </c>
    </row>
    <row r="75" spans="1:9" x14ac:dyDescent="0.2">
      <c r="A75" s="48"/>
      <c r="B75" s="179"/>
      <c r="C75" s="180">
        <v>0</v>
      </c>
      <c r="D75" s="172"/>
      <c r="E75" s="173"/>
      <c r="F75" s="173"/>
      <c r="G75" s="117">
        <f t="shared" si="1"/>
        <v>0</v>
      </c>
      <c r="H75" s="118">
        <v>0</v>
      </c>
      <c r="I75" s="181">
        <f t="shared" si="2"/>
        <v>0</v>
      </c>
    </row>
    <row r="76" spans="1:9" x14ac:dyDescent="0.2">
      <c r="A76" s="50"/>
      <c r="B76" s="179"/>
      <c r="C76" s="180">
        <v>0</v>
      </c>
      <c r="D76" s="172"/>
      <c r="E76" s="173"/>
      <c r="F76" s="173"/>
      <c r="G76" s="117">
        <f t="shared" si="1"/>
        <v>0</v>
      </c>
      <c r="H76" s="118">
        <v>0</v>
      </c>
      <c r="I76" s="181">
        <f t="shared" si="2"/>
        <v>0</v>
      </c>
    </row>
    <row r="77" spans="1:9" x14ac:dyDescent="0.2">
      <c r="A77" s="50"/>
      <c r="B77" s="179"/>
      <c r="C77" s="180">
        <v>0</v>
      </c>
      <c r="D77" s="172"/>
      <c r="E77" s="173"/>
      <c r="F77" s="173"/>
      <c r="G77" s="117">
        <f t="shared" si="1"/>
        <v>0</v>
      </c>
      <c r="H77" s="118">
        <v>0</v>
      </c>
      <c r="I77" s="181">
        <f t="shared" si="2"/>
        <v>0</v>
      </c>
    </row>
    <row r="78" spans="1:9" x14ac:dyDescent="0.2">
      <c r="A78" s="50"/>
      <c r="B78" s="179"/>
      <c r="C78" s="180">
        <v>0</v>
      </c>
      <c r="D78" s="172"/>
      <c r="E78" s="173"/>
      <c r="F78" s="173"/>
      <c r="G78" s="117">
        <f t="shared" si="1"/>
        <v>0</v>
      </c>
      <c r="H78" s="118">
        <v>0</v>
      </c>
      <c r="I78" s="181">
        <f t="shared" si="2"/>
        <v>0</v>
      </c>
    </row>
    <row r="79" spans="1:9" x14ac:dyDescent="0.2">
      <c r="A79" s="50"/>
      <c r="B79" s="179"/>
      <c r="C79" s="180">
        <v>0</v>
      </c>
      <c r="D79" s="174"/>
      <c r="E79" s="175"/>
      <c r="F79" s="175"/>
      <c r="G79" s="117">
        <f t="shared" si="1"/>
        <v>0</v>
      </c>
      <c r="H79" s="118">
        <v>0</v>
      </c>
      <c r="I79" s="181">
        <f t="shared" si="2"/>
        <v>0</v>
      </c>
    </row>
    <row r="80" spans="1:9" x14ac:dyDescent="0.2">
      <c r="A80" s="50"/>
      <c r="B80" s="179"/>
      <c r="C80" s="180">
        <v>0</v>
      </c>
      <c r="D80" s="172"/>
      <c r="E80" s="173"/>
      <c r="F80" s="173"/>
      <c r="G80" s="117">
        <f t="shared" si="1"/>
        <v>0</v>
      </c>
      <c r="H80" s="118">
        <v>0</v>
      </c>
      <c r="I80" s="181">
        <f t="shared" si="2"/>
        <v>0</v>
      </c>
    </row>
    <row r="81" spans="1:9" x14ac:dyDescent="0.2">
      <c r="A81" s="50"/>
      <c r="B81" s="179"/>
      <c r="C81" s="180">
        <v>0</v>
      </c>
      <c r="D81" s="172"/>
      <c r="E81" s="176"/>
      <c r="F81" s="176"/>
      <c r="G81" s="117">
        <f t="shared" si="1"/>
        <v>0</v>
      </c>
      <c r="H81" s="118">
        <v>0</v>
      </c>
      <c r="I81" s="181">
        <f t="shared" si="2"/>
        <v>0</v>
      </c>
    </row>
    <row r="82" spans="1:9" x14ac:dyDescent="0.2">
      <c r="A82" s="50"/>
      <c r="B82" s="179"/>
      <c r="C82" s="180">
        <v>0</v>
      </c>
      <c r="D82" s="172"/>
      <c r="E82" s="176"/>
      <c r="F82" s="176"/>
      <c r="G82" s="117">
        <f t="shared" si="1"/>
        <v>0</v>
      </c>
      <c r="H82" s="118">
        <v>0</v>
      </c>
      <c r="I82" s="181">
        <f t="shared" si="2"/>
        <v>0</v>
      </c>
    </row>
    <row r="83" spans="1:9" x14ac:dyDescent="0.2">
      <c r="A83" s="50"/>
      <c r="B83" s="179"/>
      <c r="C83" s="180">
        <v>0</v>
      </c>
      <c r="D83" s="172"/>
      <c r="E83" s="176"/>
      <c r="F83" s="176"/>
      <c r="G83" s="117">
        <f t="shared" si="1"/>
        <v>0</v>
      </c>
      <c r="H83" s="118">
        <v>0</v>
      </c>
      <c r="I83" s="181">
        <f t="shared" si="2"/>
        <v>0</v>
      </c>
    </row>
    <row r="84" spans="1:9" x14ac:dyDescent="0.2">
      <c r="A84" s="50"/>
      <c r="B84" s="179"/>
      <c r="C84" s="180">
        <v>0</v>
      </c>
      <c r="D84" s="172"/>
      <c r="E84" s="173"/>
      <c r="F84" s="173"/>
      <c r="G84" s="117">
        <f t="shared" si="1"/>
        <v>0</v>
      </c>
      <c r="H84" s="118">
        <v>0</v>
      </c>
      <c r="I84" s="181">
        <f t="shared" si="2"/>
        <v>0</v>
      </c>
    </row>
    <row r="85" spans="1:9" x14ac:dyDescent="0.2">
      <c r="A85" s="50"/>
      <c r="B85" s="179"/>
      <c r="C85" s="180">
        <v>0</v>
      </c>
      <c r="D85" s="172"/>
      <c r="E85" s="173"/>
      <c r="F85" s="173"/>
      <c r="G85" s="117">
        <f t="shared" si="1"/>
        <v>0</v>
      </c>
      <c r="H85" s="118">
        <v>0</v>
      </c>
      <c r="I85" s="181">
        <f t="shared" si="2"/>
        <v>0</v>
      </c>
    </row>
    <row r="86" spans="1:9" x14ac:dyDescent="0.2">
      <c r="A86" s="50"/>
      <c r="B86" s="179"/>
      <c r="C86" s="180">
        <v>0</v>
      </c>
      <c r="D86" s="172"/>
      <c r="E86" s="176"/>
      <c r="F86" s="176"/>
      <c r="G86" s="117">
        <f t="shared" si="1"/>
        <v>0</v>
      </c>
      <c r="H86" s="118">
        <v>0</v>
      </c>
      <c r="I86" s="181">
        <f t="shared" si="2"/>
        <v>0</v>
      </c>
    </row>
    <row r="87" spans="1:9" x14ac:dyDescent="0.2">
      <c r="A87" s="50"/>
      <c r="B87" s="179"/>
      <c r="C87" s="180">
        <v>0</v>
      </c>
      <c r="D87" s="172"/>
      <c r="E87" s="176"/>
      <c r="F87" s="176"/>
      <c r="G87" s="117">
        <f t="shared" si="1"/>
        <v>0</v>
      </c>
      <c r="H87" s="118">
        <v>0</v>
      </c>
      <c r="I87" s="181">
        <f t="shared" si="2"/>
        <v>0</v>
      </c>
    </row>
    <row r="88" spans="1:9" x14ac:dyDescent="0.2">
      <c r="A88" s="50"/>
      <c r="B88" s="179"/>
      <c r="C88" s="180">
        <v>0</v>
      </c>
      <c r="D88" s="172"/>
      <c r="E88" s="176"/>
      <c r="F88" s="176"/>
      <c r="G88" s="117">
        <f t="shared" si="1"/>
        <v>0</v>
      </c>
      <c r="H88" s="118">
        <v>0</v>
      </c>
      <c r="I88" s="181">
        <f t="shared" si="2"/>
        <v>0</v>
      </c>
    </row>
    <row r="89" spans="1:9" x14ac:dyDescent="0.2">
      <c r="A89" s="50"/>
      <c r="B89" s="179"/>
      <c r="C89" s="180">
        <v>0</v>
      </c>
      <c r="D89" s="172"/>
      <c r="E89" s="176"/>
      <c r="F89" s="176"/>
      <c r="G89" s="117">
        <f t="shared" si="1"/>
        <v>0</v>
      </c>
      <c r="H89" s="118">
        <v>0</v>
      </c>
      <c r="I89" s="181">
        <f t="shared" si="2"/>
        <v>0</v>
      </c>
    </row>
    <row r="90" spans="1:9" x14ac:dyDescent="0.2">
      <c r="A90" s="50"/>
      <c r="B90" s="179"/>
      <c r="C90" s="180">
        <v>0</v>
      </c>
      <c r="D90" s="172"/>
      <c r="E90" s="176"/>
      <c r="F90" s="176"/>
      <c r="G90" s="117">
        <f t="shared" si="1"/>
        <v>0</v>
      </c>
      <c r="H90" s="118">
        <v>0</v>
      </c>
      <c r="I90" s="181">
        <f t="shared" si="2"/>
        <v>0</v>
      </c>
    </row>
    <row r="91" spans="1:9" x14ac:dyDescent="0.2">
      <c r="A91" s="50"/>
      <c r="B91" s="179"/>
      <c r="C91" s="180">
        <v>0</v>
      </c>
      <c r="D91" s="172"/>
      <c r="E91" s="176"/>
      <c r="F91" s="176"/>
      <c r="G91" s="117">
        <f t="shared" si="1"/>
        <v>0</v>
      </c>
      <c r="H91" s="118">
        <v>0</v>
      </c>
      <c r="I91" s="181">
        <f t="shared" si="2"/>
        <v>0</v>
      </c>
    </row>
    <row r="92" spans="1:9" x14ac:dyDescent="0.2">
      <c r="A92" s="50"/>
      <c r="B92" s="179"/>
      <c r="C92" s="180">
        <v>0</v>
      </c>
      <c r="D92" s="172"/>
      <c r="E92" s="176"/>
      <c r="F92" s="176"/>
      <c r="G92" s="117">
        <f t="shared" si="1"/>
        <v>0</v>
      </c>
      <c r="H92" s="118">
        <v>0</v>
      </c>
      <c r="I92" s="181">
        <f t="shared" si="2"/>
        <v>0</v>
      </c>
    </row>
    <row r="93" spans="1:9" x14ac:dyDescent="0.2">
      <c r="A93" s="50"/>
      <c r="B93" s="179"/>
      <c r="C93" s="180">
        <v>0</v>
      </c>
      <c r="D93" s="172"/>
      <c r="E93" s="176"/>
      <c r="F93" s="176"/>
      <c r="G93" s="117">
        <f t="shared" si="1"/>
        <v>0</v>
      </c>
      <c r="H93" s="118">
        <v>0</v>
      </c>
      <c r="I93" s="181">
        <f t="shared" si="2"/>
        <v>0</v>
      </c>
    </row>
    <row r="94" spans="1:9" x14ac:dyDescent="0.2">
      <c r="A94" s="50"/>
      <c r="B94" s="179"/>
      <c r="C94" s="180">
        <v>0</v>
      </c>
      <c r="D94" s="172"/>
      <c r="E94" s="176"/>
      <c r="F94" s="176"/>
      <c r="G94" s="117">
        <f t="shared" si="1"/>
        <v>0</v>
      </c>
      <c r="H94" s="118">
        <v>0</v>
      </c>
      <c r="I94" s="181">
        <f t="shared" si="2"/>
        <v>0</v>
      </c>
    </row>
    <row r="95" spans="1:9" x14ac:dyDescent="0.2">
      <c r="A95" s="50"/>
      <c r="B95" s="179"/>
      <c r="C95" s="180">
        <v>0</v>
      </c>
      <c r="D95" s="172"/>
      <c r="E95" s="176"/>
      <c r="F95" s="176"/>
      <c r="G95" s="117">
        <f t="shared" si="1"/>
        <v>0</v>
      </c>
      <c r="H95" s="118">
        <v>0</v>
      </c>
      <c r="I95" s="181">
        <f t="shared" si="2"/>
        <v>0</v>
      </c>
    </row>
    <row r="96" spans="1:9" x14ac:dyDescent="0.2">
      <c r="A96" s="50"/>
      <c r="B96" s="179"/>
      <c r="C96" s="180">
        <v>0</v>
      </c>
      <c r="D96" s="172"/>
      <c r="E96" s="176"/>
      <c r="F96" s="176"/>
      <c r="G96" s="117">
        <f t="shared" si="1"/>
        <v>0</v>
      </c>
      <c r="H96" s="118">
        <v>0</v>
      </c>
      <c r="I96" s="181">
        <f t="shared" si="2"/>
        <v>0</v>
      </c>
    </row>
    <row r="97" spans="1:9" x14ac:dyDescent="0.2">
      <c r="A97" s="50"/>
      <c r="B97" s="179"/>
      <c r="C97" s="180">
        <v>0</v>
      </c>
      <c r="D97" s="172"/>
      <c r="E97" s="176"/>
      <c r="F97" s="176"/>
      <c r="G97" s="117">
        <f t="shared" si="1"/>
        <v>0</v>
      </c>
      <c r="H97" s="118">
        <v>0</v>
      </c>
      <c r="I97" s="181">
        <f t="shared" si="2"/>
        <v>0</v>
      </c>
    </row>
    <row r="98" spans="1:9" x14ac:dyDescent="0.2">
      <c r="A98" s="50"/>
      <c r="B98" s="179"/>
      <c r="C98" s="180">
        <v>0</v>
      </c>
      <c r="D98" s="172"/>
      <c r="E98" s="176"/>
      <c r="F98" s="176"/>
      <c r="G98" s="117">
        <f t="shared" si="1"/>
        <v>0</v>
      </c>
      <c r="H98" s="118">
        <v>0</v>
      </c>
      <c r="I98" s="181">
        <f t="shared" si="2"/>
        <v>0</v>
      </c>
    </row>
    <row r="99" spans="1:9" x14ac:dyDescent="0.2">
      <c r="A99" s="50"/>
      <c r="B99" s="179"/>
      <c r="C99" s="180">
        <v>0</v>
      </c>
      <c r="D99" s="172"/>
      <c r="E99" s="176"/>
      <c r="F99" s="176"/>
      <c r="G99" s="117">
        <f t="shared" si="1"/>
        <v>0</v>
      </c>
      <c r="H99" s="118">
        <v>0</v>
      </c>
      <c r="I99" s="181">
        <f t="shared" si="2"/>
        <v>0</v>
      </c>
    </row>
    <row r="100" spans="1:9" x14ac:dyDescent="0.2">
      <c r="A100" s="50"/>
      <c r="B100" s="179"/>
      <c r="C100" s="180">
        <v>0</v>
      </c>
      <c r="D100" s="172"/>
      <c r="E100" s="176"/>
      <c r="F100" s="176"/>
      <c r="G100" s="117">
        <f t="shared" si="1"/>
        <v>0</v>
      </c>
      <c r="H100" s="118">
        <v>0</v>
      </c>
      <c r="I100" s="181">
        <f t="shared" si="2"/>
        <v>0</v>
      </c>
    </row>
    <row r="101" spans="1:9" x14ac:dyDescent="0.2">
      <c r="A101" s="50"/>
      <c r="B101" s="179"/>
      <c r="C101" s="180">
        <v>0</v>
      </c>
      <c r="D101" s="172"/>
      <c r="E101" s="176"/>
      <c r="F101" s="176"/>
      <c r="G101" s="117">
        <f t="shared" si="1"/>
        <v>0</v>
      </c>
      <c r="H101" s="118">
        <v>0</v>
      </c>
      <c r="I101" s="181">
        <f t="shared" si="2"/>
        <v>0</v>
      </c>
    </row>
    <row r="102" spans="1:9" x14ac:dyDescent="0.2">
      <c r="A102" s="50"/>
      <c r="B102" s="179"/>
      <c r="C102" s="180">
        <v>0</v>
      </c>
      <c r="D102" s="172"/>
      <c r="E102" s="176"/>
      <c r="F102" s="176"/>
      <c r="G102" s="117">
        <f t="shared" si="1"/>
        <v>0</v>
      </c>
      <c r="H102" s="118">
        <v>0</v>
      </c>
      <c r="I102" s="181">
        <f t="shared" si="2"/>
        <v>0</v>
      </c>
    </row>
    <row r="103" spans="1:9" x14ac:dyDescent="0.2">
      <c r="A103" s="50"/>
      <c r="B103" s="179"/>
      <c r="C103" s="180">
        <v>0</v>
      </c>
      <c r="D103" s="172"/>
      <c r="E103" s="176"/>
      <c r="F103" s="176"/>
      <c r="G103" s="117">
        <f t="shared" si="1"/>
        <v>0</v>
      </c>
      <c r="H103" s="118">
        <v>0</v>
      </c>
      <c r="I103" s="181">
        <f t="shared" si="2"/>
        <v>0</v>
      </c>
    </row>
    <row r="104" spans="1:9" x14ac:dyDescent="0.2">
      <c r="A104" s="50"/>
      <c r="B104" s="179"/>
      <c r="C104" s="180">
        <v>0</v>
      </c>
      <c r="D104" s="172"/>
      <c r="E104" s="176"/>
      <c r="F104" s="176"/>
      <c r="G104" s="117">
        <f t="shared" si="1"/>
        <v>0</v>
      </c>
      <c r="H104" s="118">
        <v>0</v>
      </c>
      <c r="I104" s="181">
        <f t="shared" si="2"/>
        <v>0</v>
      </c>
    </row>
    <row r="105" spans="1:9" x14ac:dyDescent="0.2">
      <c r="A105" s="50"/>
      <c r="B105" s="179"/>
      <c r="C105" s="180">
        <v>0</v>
      </c>
      <c r="D105" s="172"/>
      <c r="E105" s="176"/>
      <c r="F105" s="176"/>
      <c r="G105" s="117">
        <f t="shared" si="1"/>
        <v>0</v>
      </c>
      <c r="H105" s="118">
        <v>0</v>
      </c>
      <c r="I105" s="181">
        <f t="shared" si="2"/>
        <v>0</v>
      </c>
    </row>
    <row r="106" spans="1:9" x14ac:dyDescent="0.2">
      <c r="A106" s="50"/>
      <c r="B106" s="179"/>
      <c r="C106" s="180">
        <v>0</v>
      </c>
      <c r="D106" s="172"/>
      <c r="E106" s="176"/>
      <c r="F106" s="176"/>
      <c r="G106" s="117">
        <f t="shared" si="1"/>
        <v>0</v>
      </c>
      <c r="H106" s="118">
        <v>0</v>
      </c>
      <c r="I106" s="181">
        <f t="shared" si="2"/>
        <v>0</v>
      </c>
    </row>
    <row r="107" spans="1:9" x14ac:dyDescent="0.2">
      <c r="A107" s="50"/>
      <c r="B107" s="179"/>
      <c r="C107" s="180">
        <v>0</v>
      </c>
      <c r="D107" s="172"/>
      <c r="E107" s="176"/>
      <c r="F107" s="176"/>
      <c r="G107" s="117">
        <f t="shared" si="1"/>
        <v>0</v>
      </c>
      <c r="H107" s="118">
        <v>0</v>
      </c>
      <c r="I107" s="181">
        <f t="shared" si="2"/>
        <v>0</v>
      </c>
    </row>
    <row r="108" spans="1:9" x14ac:dyDescent="0.2">
      <c r="A108" s="50"/>
      <c r="B108" s="179"/>
      <c r="C108" s="180">
        <v>0</v>
      </c>
      <c r="D108" s="172"/>
      <c r="E108" s="176"/>
      <c r="F108" s="176"/>
      <c r="G108" s="117">
        <f t="shared" si="1"/>
        <v>0</v>
      </c>
      <c r="H108" s="118">
        <v>0</v>
      </c>
      <c r="I108" s="181">
        <f t="shared" si="2"/>
        <v>0</v>
      </c>
    </row>
    <row r="109" spans="1:9" x14ac:dyDescent="0.2">
      <c r="A109" s="50"/>
      <c r="B109" s="179"/>
      <c r="C109" s="180">
        <v>0</v>
      </c>
      <c r="D109" s="172"/>
      <c r="E109" s="176"/>
      <c r="F109" s="176"/>
      <c r="G109" s="117">
        <f t="shared" si="1"/>
        <v>0</v>
      </c>
      <c r="H109" s="118">
        <v>0</v>
      </c>
      <c r="I109" s="181">
        <f t="shared" si="2"/>
        <v>0</v>
      </c>
    </row>
    <row r="110" spans="1:9" x14ac:dyDescent="0.2">
      <c r="A110" s="50"/>
      <c r="B110" s="179"/>
      <c r="C110" s="180">
        <v>0</v>
      </c>
      <c r="D110" s="172"/>
      <c r="E110" s="176"/>
      <c r="F110" s="176"/>
      <c r="G110" s="117">
        <f t="shared" si="1"/>
        <v>0</v>
      </c>
      <c r="H110" s="118">
        <v>0</v>
      </c>
      <c r="I110" s="181">
        <f t="shared" si="2"/>
        <v>0</v>
      </c>
    </row>
    <row r="111" spans="1:9" x14ac:dyDescent="0.2">
      <c r="A111" s="50"/>
      <c r="B111" s="179"/>
      <c r="C111" s="180">
        <v>0</v>
      </c>
      <c r="D111" s="172"/>
      <c r="E111" s="176"/>
      <c r="F111" s="176"/>
      <c r="G111" s="117">
        <f t="shared" si="1"/>
        <v>0</v>
      </c>
      <c r="H111" s="118">
        <v>0</v>
      </c>
      <c r="I111" s="181">
        <f t="shared" si="2"/>
        <v>0</v>
      </c>
    </row>
    <row r="112" spans="1:9" x14ac:dyDescent="0.2">
      <c r="A112" s="50"/>
      <c r="B112" s="179"/>
      <c r="C112" s="180">
        <v>0</v>
      </c>
      <c r="D112" s="172"/>
      <c r="E112" s="176"/>
      <c r="F112" s="176"/>
      <c r="G112" s="117">
        <f t="shared" si="1"/>
        <v>0</v>
      </c>
      <c r="H112" s="118">
        <v>0</v>
      </c>
      <c r="I112" s="181">
        <f t="shared" si="2"/>
        <v>0</v>
      </c>
    </row>
    <row r="113" spans="1:9" x14ac:dyDescent="0.2">
      <c r="A113" s="50"/>
      <c r="B113" s="179"/>
      <c r="C113" s="180">
        <v>0</v>
      </c>
      <c r="D113" s="172"/>
      <c r="E113" s="176"/>
      <c r="F113" s="176"/>
      <c r="G113" s="117">
        <f t="shared" si="1"/>
        <v>0</v>
      </c>
      <c r="H113" s="118">
        <v>0</v>
      </c>
      <c r="I113" s="181">
        <f t="shared" si="2"/>
        <v>0</v>
      </c>
    </row>
    <row r="114" spans="1:9" x14ac:dyDescent="0.2">
      <c r="A114" s="50"/>
      <c r="B114" s="179"/>
      <c r="C114" s="180">
        <v>0</v>
      </c>
      <c r="D114" s="177"/>
      <c r="E114" s="178"/>
      <c r="F114" s="178"/>
      <c r="G114" s="117">
        <f>F114/40.3399</f>
        <v>0</v>
      </c>
      <c r="H114" s="118">
        <v>0</v>
      </c>
      <c r="I114" s="181">
        <f t="shared" si="2"/>
        <v>0</v>
      </c>
    </row>
    <row r="115" spans="1:9" x14ac:dyDescent="0.2">
      <c r="A115" s="50"/>
      <c r="B115" s="179"/>
      <c r="C115" s="180">
        <v>0</v>
      </c>
      <c r="D115" s="177"/>
      <c r="E115" s="178"/>
      <c r="F115" s="178"/>
      <c r="G115" s="117">
        <f>F115/40.3399</f>
        <v>0</v>
      </c>
      <c r="H115" s="118">
        <v>0</v>
      </c>
      <c r="I115" s="181">
        <f t="shared" si="2"/>
        <v>0</v>
      </c>
    </row>
    <row r="116" spans="1:9" x14ac:dyDescent="0.2">
      <c r="A116" s="50"/>
      <c r="B116" s="179"/>
      <c r="C116" s="180">
        <v>0</v>
      </c>
      <c r="D116" s="174"/>
      <c r="E116" s="175"/>
      <c r="F116" s="175"/>
      <c r="G116" s="117">
        <f>F116/40.3399</f>
        <v>0</v>
      </c>
      <c r="H116" s="118">
        <v>0</v>
      </c>
      <c r="I116" s="181">
        <f t="shared" si="2"/>
        <v>0</v>
      </c>
    </row>
    <row r="117" spans="1:9" x14ac:dyDescent="0.2">
      <c r="A117" s="50"/>
      <c r="B117" s="179"/>
      <c r="C117" s="180">
        <v>0</v>
      </c>
      <c r="D117" s="172"/>
      <c r="E117" s="173"/>
      <c r="F117" s="173"/>
      <c r="G117" s="117">
        <f t="shared" ref="G117:G130" si="3">F117/40.3399</f>
        <v>0</v>
      </c>
      <c r="H117" s="118">
        <v>0</v>
      </c>
      <c r="I117" s="181">
        <f t="shared" si="2"/>
        <v>0</v>
      </c>
    </row>
    <row r="118" spans="1:9" x14ac:dyDescent="0.2">
      <c r="A118" s="50"/>
      <c r="B118" s="179"/>
      <c r="C118" s="180">
        <v>0</v>
      </c>
      <c r="D118" s="172"/>
      <c r="E118" s="173"/>
      <c r="F118" s="173"/>
      <c r="G118" s="117">
        <f t="shared" si="3"/>
        <v>0</v>
      </c>
      <c r="H118" s="118">
        <v>0</v>
      </c>
      <c r="I118" s="181">
        <f t="shared" si="2"/>
        <v>0</v>
      </c>
    </row>
    <row r="119" spans="1:9" x14ac:dyDescent="0.2">
      <c r="A119" s="50"/>
      <c r="B119" s="179"/>
      <c r="C119" s="180">
        <v>0</v>
      </c>
      <c r="D119" s="172"/>
      <c r="E119" s="173"/>
      <c r="F119" s="173"/>
      <c r="G119" s="117">
        <f t="shared" si="3"/>
        <v>0</v>
      </c>
      <c r="H119" s="118">
        <v>0</v>
      </c>
      <c r="I119" s="181">
        <f t="shared" si="2"/>
        <v>0</v>
      </c>
    </row>
    <row r="120" spans="1:9" x14ac:dyDescent="0.2">
      <c r="A120" s="50"/>
      <c r="B120" s="179"/>
      <c r="C120" s="180">
        <v>0</v>
      </c>
      <c r="D120" s="172"/>
      <c r="E120" s="173"/>
      <c r="F120" s="173"/>
      <c r="G120" s="117">
        <f t="shared" si="3"/>
        <v>0</v>
      </c>
      <c r="H120" s="118">
        <v>0</v>
      </c>
      <c r="I120" s="181">
        <f t="shared" si="2"/>
        <v>0</v>
      </c>
    </row>
    <row r="121" spans="1:9" x14ac:dyDescent="0.2">
      <c r="A121" s="50"/>
      <c r="B121" s="179"/>
      <c r="C121" s="180">
        <v>0</v>
      </c>
      <c r="D121" s="172"/>
      <c r="E121" s="173"/>
      <c r="F121" s="173"/>
      <c r="G121" s="117">
        <f t="shared" si="3"/>
        <v>0</v>
      </c>
      <c r="H121" s="118">
        <v>0</v>
      </c>
      <c r="I121" s="181">
        <f t="shared" si="2"/>
        <v>0</v>
      </c>
    </row>
    <row r="122" spans="1:9" x14ac:dyDescent="0.2">
      <c r="A122" s="50"/>
      <c r="B122" s="179"/>
      <c r="C122" s="180">
        <v>0</v>
      </c>
      <c r="D122" s="172"/>
      <c r="E122" s="173"/>
      <c r="F122" s="173"/>
      <c r="G122" s="117">
        <f t="shared" si="3"/>
        <v>0</v>
      </c>
      <c r="H122" s="118">
        <v>0</v>
      </c>
      <c r="I122" s="181">
        <f t="shared" si="2"/>
        <v>0</v>
      </c>
    </row>
    <row r="123" spans="1:9" x14ac:dyDescent="0.2">
      <c r="A123" s="50"/>
      <c r="B123" s="179"/>
      <c r="C123" s="180">
        <v>0</v>
      </c>
      <c r="D123" s="172"/>
      <c r="E123" s="173"/>
      <c r="F123" s="173"/>
      <c r="G123" s="117">
        <f t="shared" si="3"/>
        <v>0</v>
      </c>
      <c r="H123" s="118">
        <v>0</v>
      </c>
      <c r="I123" s="181">
        <f t="shared" si="2"/>
        <v>0</v>
      </c>
    </row>
    <row r="124" spans="1:9" x14ac:dyDescent="0.2">
      <c r="A124" s="50"/>
      <c r="B124" s="179"/>
      <c r="C124" s="180">
        <v>0</v>
      </c>
      <c r="D124" s="172"/>
      <c r="E124" s="173"/>
      <c r="F124" s="173"/>
      <c r="G124" s="117">
        <f t="shared" si="3"/>
        <v>0</v>
      </c>
      <c r="H124" s="118">
        <v>0</v>
      </c>
      <c r="I124" s="181">
        <f t="shared" si="2"/>
        <v>0</v>
      </c>
    </row>
    <row r="125" spans="1:9" x14ac:dyDescent="0.2">
      <c r="A125" s="50"/>
      <c r="B125" s="179"/>
      <c r="C125" s="180">
        <v>0</v>
      </c>
      <c r="D125" s="172"/>
      <c r="E125" s="173"/>
      <c r="F125" s="173"/>
      <c r="G125" s="117">
        <f t="shared" si="3"/>
        <v>0</v>
      </c>
      <c r="H125" s="118">
        <v>0</v>
      </c>
      <c r="I125" s="181">
        <f t="shared" si="2"/>
        <v>0</v>
      </c>
    </row>
    <row r="126" spans="1:9" x14ac:dyDescent="0.2">
      <c r="A126" s="50"/>
      <c r="B126" s="179"/>
      <c r="C126" s="180">
        <v>0</v>
      </c>
      <c r="D126" s="172"/>
      <c r="E126" s="173"/>
      <c r="F126" s="173"/>
      <c r="G126" s="117">
        <f t="shared" si="3"/>
        <v>0</v>
      </c>
      <c r="H126" s="118">
        <v>0</v>
      </c>
      <c r="I126" s="181">
        <f t="shared" si="2"/>
        <v>0</v>
      </c>
    </row>
    <row r="127" spans="1:9" x14ac:dyDescent="0.2">
      <c r="A127" s="50"/>
      <c r="B127" s="179"/>
      <c r="C127" s="180">
        <v>0</v>
      </c>
      <c r="D127" s="172"/>
      <c r="E127" s="173"/>
      <c r="F127" s="173"/>
      <c r="G127" s="117">
        <f t="shared" si="3"/>
        <v>0</v>
      </c>
      <c r="H127" s="118">
        <v>0</v>
      </c>
      <c r="I127" s="181">
        <f t="shared" si="2"/>
        <v>0</v>
      </c>
    </row>
    <row r="128" spans="1:9" x14ac:dyDescent="0.2">
      <c r="A128" s="50"/>
      <c r="B128" s="179"/>
      <c r="C128" s="180">
        <v>0</v>
      </c>
      <c r="D128" s="174"/>
      <c r="E128" s="175"/>
      <c r="F128" s="175"/>
      <c r="G128" s="117">
        <f t="shared" si="3"/>
        <v>0</v>
      </c>
      <c r="H128" s="118">
        <v>0</v>
      </c>
      <c r="I128" s="181">
        <f t="shared" si="2"/>
        <v>0</v>
      </c>
    </row>
    <row r="129" spans="1:10" x14ac:dyDescent="0.2">
      <c r="A129" s="50"/>
      <c r="B129" s="179"/>
      <c r="C129" s="180">
        <v>0</v>
      </c>
      <c r="D129" s="172"/>
      <c r="E129" s="173"/>
      <c r="F129" s="173"/>
      <c r="G129" s="117">
        <f t="shared" si="3"/>
        <v>0</v>
      </c>
      <c r="H129" s="118">
        <v>0</v>
      </c>
      <c r="I129" s="181">
        <f t="shared" si="2"/>
        <v>0</v>
      </c>
    </row>
    <row r="130" spans="1:10" x14ac:dyDescent="0.2">
      <c r="A130" s="50"/>
      <c r="B130" s="179"/>
      <c r="C130" s="180">
        <v>0</v>
      </c>
      <c r="D130" s="172"/>
      <c r="E130" s="173"/>
      <c r="F130" s="173"/>
      <c r="G130" s="117">
        <f t="shared" si="3"/>
        <v>0</v>
      </c>
      <c r="H130" s="118">
        <v>0</v>
      </c>
      <c r="I130" s="181">
        <f t="shared" si="2"/>
        <v>0</v>
      </c>
    </row>
    <row r="131" spans="1:10" x14ac:dyDescent="0.2">
      <c r="A131" s="50"/>
      <c r="B131" s="125"/>
      <c r="C131" s="116"/>
      <c r="D131" s="120"/>
      <c r="E131" s="121"/>
      <c r="F131" s="121"/>
      <c r="G131" s="117"/>
      <c r="H131" s="118"/>
      <c r="I131" s="119"/>
    </row>
    <row r="132" spans="1:10" ht="15" customHeight="1" x14ac:dyDescent="0.2">
      <c r="A132" s="95"/>
      <c r="B132" s="51" t="s">
        <v>64</v>
      </c>
      <c r="C132" s="26"/>
      <c r="D132" s="30"/>
      <c r="E132" s="7"/>
      <c r="F132" s="7"/>
      <c r="G132" s="46"/>
      <c r="H132" s="123"/>
      <c r="I132" s="27"/>
    </row>
    <row r="133" spans="1:10" x14ac:dyDescent="0.2">
      <c r="A133" s="101"/>
      <c r="B133" s="106"/>
      <c r="D133" s="136"/>
      <c r="E133" s="102"/>
      <c r="F133" s="53"/>
      <c r="G133" s="53"/>
      <c r="H133" s="103"/>
      <c r="I133" s="104"/>
      <c r="J133" s="33"/>
    </row>
    <row r="134" spans="1:10" x14ac:dyDescent="0.2">
      <c r="B134" s="136" t="s">
        <v>60</v>
      </c>
    </row>
    <row r="136" spans="1:10" x14ac:dyDescent="0.2">
      <c r="C136" s="100"/>
    </row>
    <row r="137" spans="1:10" x14ac:dyDescent="0.2">
      <c r="C137" s="100"/>
    </row>
    <row r="139" spans="1:10" x14ac:dyDescent="0.2">
      <c r="C139" s="137" t="s">
        <v>61</v>
      </c>
    </row>
  </sheetData>
  <mergeCells count="20">
    <mergeCell ref="C35:F35"/>
    <mergeCell ref="G35:I35"/>
    <mergeCell ref="C36:F36"/>
    <mergeCell ref="G36:H36"/>
    <mergeCell ref="D47:F47"/>
    <mergeCell ref="A19:I19"/>
    <mergeCell ref="C33:F33"/>
    <mergeCell ref="G33:I33"/>
    <mergeCell ref="C34:F34"/>
    <mergeCell ref="G34:I34"/>
    <mergeCell ref="D11:I11"/>
    <mergeCell ref="D12:I12"/>
    <mergeCell ref="D13:I13"/>
    <mergeCell ref="D14:I14"/>
    <mergeCell ref="B17:I17"/>
    <mergeCell ref="B5:I5"/>
    <mergeCell ref="B6:I6"/>
    <mergeCell ref="D8:I8"/>
    <mergeCell ref="D9:I9"/>
    <mergeCell ref="D10:I10"/>
  </mergeCells>
  <phoneticPr fontId="0" type="noConversion"/>
  <pageMargins left="0.39370078740157483" right="0.39370078740157483" top="0.47244094488188981" bottom="0.51181102362204722" header="0.31496062992125984" footer="0.31496062992125984"/>
  <pageSetup paperSize="9" scale="82" fitToHeight="0" orientation="portrait" horizontalDpi="360" verticalDpi="360" r:id="rId1"/>
  <headerFooter alignWithMargins="0">
    <oddFooter xml:space="preserve">&amp;Cpage - &amp;P -&amp;R
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82EE10085F0946A31CAACF630AF0AD" ma:contentTypeVersion="13" ma:contentTypeDescription="Crée un document." ma:contentTypeScope="" ma:versionID="4d9de19ea4c9257a7ab63630c996792d">
  <xsd:schema xmlns:xsd="http://www.w3.org/2001/XMLSchema" xmlns:xs="http://www.w3.org/2001/XMLSchema" xmlns:p="http://schemas.microsoft.com/office/2006/metadata/properties" xmlns:ns2="3e93077b-3580-48c5-9ab8-99c6d89cf123" xmlns:ns3="34b71058-e740-45a9-87ab-a98f246c5988" targetNamespace="http://schemas.microsoft.com/office/2006/metadata/properties" ma:root="true" ma:fieldsID="6ccc9ba0eed30f37cb573cf72a65c26a" ns2:_="" ns3:_="">
    <xsd:import namespace="3e93077b-3580-48c5-9ab8-99c6d89cf123"/>
    <xsd:import namespace="34b71058-e740-45a9-87ab-a98f246c59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3077b-3580-48c5-9ab8-99c6d89cf1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71058-e740-45a9-87ab-a98f246c598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90cc9e5-a9a1-4cd3-ac51-8c1d644a8aaf}" ma:internalName="TaxCatchAll" ma:showField="CatchAllData" ma:web="34b71058-e740-45a9-87ab-a98f246c59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71058-e740-45a9-87ab-a98f246c5988" xsi:nil="true"/>
    <lcf76f155ced4ddcb4097134ff3c332f xmlns="3e93077b-3580-48c5-9ab8-99c6d89cf1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D1B7BA-1C32-4D2E-AE30-748BB973712E}"/>
</file>

<file path=customXml/itemProps2.xml><?xml version="1.0" encoding="utf-8"?>
<ds:datastoreItem xmlns:ds="http://schemas.openxmlformats.org/officeDocument/2006/customXml" ds:itemID="{CB0BF167-3EE1-4AFB-BE58-F4EFB254F6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64BDB6-E795-495D-AB4A-C34BB2E53B52}">
  <ds:schemaRefs>
    <ds:schemaRef ds:uri="http://schemas.microsoft.com/office/2006/metadata/properties"/>
    <ds:schemaRef ds:uri="http://schemas.microsoft.com/office/infopath/2007/PartnerControls"/>
    <ds:schemaRef ds:uri="34b71058-e740-45a9-87ab-a98f246c5988"/>
    <ds:schemaRef ds:uri="3e93077b-3580-48c5-9ab8-99c6d89cf1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Manager/>
  <Company>BEX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</dc:creator>
  <cp:keywords/>
  <dc:description/>
  <cp:lastModifiedBy>G. Bastian - Expert (Bur. Nicolaï &amp; Associés)</cp:lastModifiedBy>
  <cp:revision/>
  <cp:lastPrinted>2024-04-20T05:55:20Z</cp:lastPrinted>
  <dcterms:created xsi:type="dcterms:W3CDTF">1997-07-02T07:31:54Z</dcterms:created>
  <dcterms:modified xsi:type="dcterms:W3CDTF">2025-12-17T12:33:25Z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0x010100A082EE10085F0946A31CAACF630AF0AD</vt:lpwstr>
  </property>
  <property fmtid="{D5CDD505-2E9C-101B-9397-08002B2CF9AE}" pid="3" name="MediaServiceImageTags">
    <vt:lpwstr/>
  </property>
</Properties>
</file>